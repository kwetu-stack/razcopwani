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AppData\Roaming\Microsoft\Windows\Network Shortcuts\"/>
    </mc:Choice>
  </mc:AlternateContent>
  <bookViews>
    <workbookView xWindow="0" yWindow="0" windowWidth="19180" windowHeight="8160" activeTab="1"/>
  </bookViews>
  <sheets>
    <sheet name="KEY ACCOUNT" sheetId="1" r:id="rId1"/>
    <sheet name="HORECA" sheetId="2" r:id="rId2"/>
    <sheet name="GENERAL TRADING" sheetId="3" r:id="rId3"/>
    <sheet name="OFFICE SALES" sheetId="4" r:id="rId4"/>
    <sheet name="DOMANT ACCOUNT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5" i="3" l="1"/>
  <c r="O66" i="3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5" i="2"/>
  <c r="O48" i="3"/>
  <c r="O4" i="2"/>
  <c r="O54" i="3"/>
  <c r="O19" i="4"/>
  <c r="D46" i="4"/>
  <c r="E46" i="4"/>
  <c r="F46" i="4"/>
  <c r="G46" i="4"/>
  <c r="H46" i="4"/>
  <c r="I46" i="4"/>
  <c r="J46" i="4"/>
  <c r="K46" i="4"/>
  <c r="L46" i="4"/>
  <c r="M46" i="4"/>
  <c r="N46" i="4"/>
  <c r="C46" i="4"/>
  <c r="D84" i="3"/>
  <c r="E84" i="3"/>
  <c r="F84" i="3"/>
  <c r="G84" i="3"/>
  <c r="H84" i="3"/>
  <c r="I84" i="3"/>
  <c r="J84" i="3"/>
  <c r="K84" i="3"/>
  <c r="L84" i="3"/>
  <c r="M84" i="3"/>
  <c r="N84" i="3"/>
  <c r="C84" i="3"/>
  <c r="D8" i="1"/>
  <c r="E8" i="1"/>
  <c r="F8" i="1"/>
  <c r="G8" i="1"/>
  <c r="H8" i="1"/>
  <c r="I8" i="1"/>
  <c r="J8" i="1"/>
  <c r="K8" i="1"/>
  <c r="L8" i="1"/>
  <c r="M8" i="1"/>
  <c r="N8" i="1"/>
  <c r="C8" i="1"/>
  <c r="D139" i="2"/>
  <c r="E139" i="2"/>
  <c r="F139" i="2"/>
  <c r="G139" i="2"/>
  <c r="H139" i="2"/>
  <c r="I139" i="2"/>
  <c r="J139" i="2"/>
  <c r="K139" i="2"/>
  <c r="L139" i="2"/>
  <c r="M139" i="2"/>
  <c r="N139" i="2"/>
  <c r="C139" i="2"/>
  <c r="O3" i="4" l="1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9" i="3"/>
  <c r="O50" i="3"/>
  <c r="O51" i="3"/>
  <c r="O52" i="3"/>
  <c r="O53" i="3"/>
  <c r="O55" i="3"/>
  <c r="O56" i="3"/>
  <c r="O57" i="3"/>
  <c r="O58" i="3"/>
  <c r="O59" i="3"/>
  <c r="O60" i="3"/>
  <c r="O61" i="3"/>
  <c r="O62" i="3"/>
  <c r="O63" i="3"/>
  <c r="O64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3" i="3"/>
  <c r="O3" i="2"/>
  <c r="O4" i="1"/>
  <c r="O5" i="1"/>
  <c r="O6" i="1"/>
  <c r="O7" i="1"/>
  <c r="O3" i="1"/>
  <c r="O8" i="1" l="1"/>
  <c r="O46" i="4"/>
  <c r="O84" i="3"/>
  <c r="O139" i="2"/>
</calcChain>
</file>

<file path=xl/sharedStrings.xml><?xml version="1.0" encoding="utf-8"?>
<sst xmlns="http://schemas.openxmlformats.org/spreadsheetml/2006/main" count="393" uniqueCount="347">
  <si>
    <t>NAMES</t>
  </si>
  <si>
    <t>JANUARY</t>
  </si>
  <si>
    <t>FEBRUARY</t>
  </si>
  <si>
    <t>MARCH</t>
  </si>
  <si>
    <t xml:space="preserve">APRIL 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</si>
  <si>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</si>
  <si>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</si>
  <si>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</si>
  <si>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</si>
  <si>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</si>
  <si>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</si>
  <si>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</si>
  <si>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</si>
  <si>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CHANDARANA</t>
  </si>
  <si>
    <t>MAJID</t>
  </si>
  <si>
    <t>NAIVAS</t>
  </si>
  <si>
    <t>QUICKMART</t>
  </si>
  <si>
    <t>TOTAL</t>
  </si>
  <si>
    <t>A&amp;F FOODS</t>
  </si>
  <si>
    <t>AJS BAR &amp; GRILL</t>
  </si>
  <si>
    <t>KARIBU BEST OF AMERICA</t>
  </si>
  <si>
    <t>AYLVA HOSPITALITY</t>
  </si>
  <si>
    <t>BAHARI BEACH</t>
  </si>
  <si>
    <t>BAHARI DHOW</t>
  </si>
  <si>
    <t>BAHARI PIZZA</t>
  </si>
  <si>
    <t>BAMBURI BEACH HOTEL</t>
  </si>
  <si>
    <t>BAPS SHAYONA</t>
  </si>
  <si>
    <t>BITES VILLAGE</t>
  </si>
  <si>
    <t>BLAQ ENTERPRISES</t>
  </si>
  <si>
    <t>BOLLYWOOD BITES</t>
  </si>
  <si>
    <t>BREADTIN</t>
  </si>
  <si>
    <t>BRIGHTNOOR ACADEMY</t>
  </si>
  <si>
    <t>BUSTAN RESTAURANT</t>
  </si>
  <si>
    <t>CITYBLUE CREEKSIDE</t>
  </si>
  <si>
    <t>COOLWAVE</t>
  </si>
  <si>
    <t>CRAVE CHOCOLATE</t>
  </si>
  <si>
    <t>CRISPY BITES</t>
  </si>
  <si>
    <t>DINE DISTRICT</t>
  </si>
  <si>
    <t>ELERAI CAMP</t>
  </si>
  <si>
    <t>FORODHANI</t>
  </si>
  <si>
    <t>GARODA RESTAURANT</t>
  </si>
  <si>
    <t>GULF HOMES</t>
  </si>
  <si>
    <t>HEY WAY LOUNGE</t>
  </si>
  <si>
    <t>HOTEL SAPPHIRE</t>
  </si>
  <si>
    <t xml:space="preserve">HOLIDAY RESORT (NEPTUNE) </t>
  </si>
  <si>
    <t>ISLAND CUISINE</t>
  </si>
  <si>
    <t>JAFFERY ACADEMY</t>
  </si>
  <si>
    <t>JUNDAN HOTEL</t>
  </si>
  <si>
    <t>KADIRIS DESERT</t>
  </si>
  <si>
    <t>KIKIS KREME</t>
  </si>
  <si>
    <t>KILIFI FRIED CHICKEN</t>
  </si>
  <si>
    <t>KINGSTON</t>
  </si>
  <si>
    <t>SPLASH FOOD (KINGSTON)</t>
  </si>
  <si>
    <t>KITAMU RESTAURANT</t>
  </si>
  <si>
    <t>KUDO KUDO</t>
  </si>
  <si>
    <t>LA PARISIENE</t>
  </si>
  <si>
    <t>LEISURE LODGE</t>
  </si>
  <si>
    <t>LEOPARD BEACH RESORT</t>
  </si>
  <si>
    <t>LIGHTPULSE</t>
  </si>
  <si>
    <t>LIGHTINTERNATIONAL</t>
  </si>
  <si>
    <t>MAKAAZI RESTAURANT</t>
  </si>
  <si>
    <t>MILLENIUM CINEMAS</t>
  </si>
  <si>
    <t>MSA BEACH HOTEL</t>
  </si>
  <si>
    <t>MTWAPA PALMS</t>
  </si>
  <si>
    <t>MTWAPA PRESTIGE</t>
  </si>
  <si>
    <t>MUGSHOT</t>
  </si>
  <si>
    <t>MUJOS RESTAURANT</t>
  </si>
  <si>
    <t>MUNA'S GRILL</t>
  </si>
  <si>
    <t>OCEAN SIDE CAFÉ</t>
  </si>
  <si>
    <t>PAPILLON</t>
  </si>
  <si>
    <t>PIRATES BEACH PARK</t>
  </si>
  <si>
    <t>RONGAI RESTAURANT</t>
  </si>
  <si>
    <t>SALAZ BBQ</t>
  </si>
  <si>
    <t>SALTY'S LTD</t>
  </si>
  <si>
    <t>SALTY SQUID</t>
  </si>
  <si>
    <t>SENTRIM CASTLE ROYAL</t>
  </si>
  <si>
    <t>EPIC EATS (SNACK ATTACK)</t>
  </si>
  <si>
    <t>SUHUFI PALACE</t>
  </si>
  <si>
    <t>SUKOON SUITES</t>
  </si>
  <si>
    <t>SUNSET PARADISE</t>
  </si>
  <si>
    <t>TAVERN</t>
  </si>
  <si>
    <t>THE OAK</t>
  </si>
  <si>
    <t>TRAVELLERS</t>
  </si>
  <si>
    <t>TSAVO AUTO POINTS</t>
  </si>
  <si>
    <t>TOBY'S GRILL</t>
  </si>
  <si>
    <t>TURKEY CHOMA</t>
  </si>
  <si>
    <t>TWIGA LODGE</t>
  </si>
  <si>
    <t>VILLAGE DISHES</t>
  </si>
  <si>
    <t>ZIWA BEACH HOTEL</t>
  </si>
  <si>
    <t>EME FRIES</t>
  </si>
  <si>
    <t>MARA GARDEN</t>
  </si>
  <si>
    <t>FLY BITES</t>
  </si>
  <si>
    <t>SILVER PALM SPA &amp; RESORT</t>
  </si>
  <si>
    <t>OSHWAL EDUCATION</t>
  </si>
  <si>
    <t>STARS AND GATERS</t>
  </si>
  <si>
    <t>TSAVO PARK TESS</t>
  </si>
  <si>
    <t>TSAVO TOTAL CANTEEN</t>
  </si>
  <si>
    <t>KARIAMA</t>
  </si>
  <si>
    <t>HORECA - 2026</t>
  </si>
  <si>
    <t>KEY ACCOUNTS - 2026</t>
  </si>
  <si>
    <t>G.Ts - 2026</t>
  </si>
  <si>
    <t>ABUDANCE MINI MART</t>
  </si>
  <si>
    <t>ALEMA TECHNOLOGIES</t>
  </si>
  <si>
    <t>AL - HASHIMIYAH</t>
  </si>
  <si>
    <t>ALIYOMI</t>
  </si>
  <si>
    <t>AL - RAYAAN</t>
  </si>
  <si>
    <t>AMIN MINI MART</t>
  </si>
  <si>
    <t>ANAND SUPERMARKET</t>
  </si>
  <si>
    <t>ARCADE SAVERS</t>
  </si>
  <si>
    <t>BAKHSONS</t>
  </si>
  <si>
    <t>BARAKA MILK</t>
  </si>
  <si>
    <t>BENKA MINI SUPERMARKET</t>
  </si>
  <si>
    <t>BEST BUY DISTRIBUTORS</t>
  </si>
  <si>
    <t>BIN ATHMAN</t>
  </si>
  <si>
    <t>BIN SWAHIM</t>
  </si>
  <si>
    <t>BLUE MARMALADE</t>
  </si>
  <si>
    <t>BORA IMANI</t>
  </si>
  <si>
    <t>CAFÉ MOCHA</t>
  </si>
  <si>
    <t>CAKE ME AWAY</t>
  </si>
  <si>
    <t>CAPACITY DEVELOPER</t>
  </si>
  <si>
    <t>CAPACITY DEVELOPER - MTWAPA</t>
  </si>
  <si>
    <t>CHICKY CHIPPS</t>
  </si>
  <si>
    <t>CLASSIC SUNSET</t>
  </si>
  <si>
    <t>DESTINY</t>
  </si>
  <si>
    <t>DONLIGHTS</t>
  </si>
  <si>
    <t>DOWNSOUTH WINES</t>
  </si>
  <si>
    <t>DSHOP</t>
  </si>
  <si>
    <t>EASY EXPRESS</t>
  </si>
  <si>
    <t>ENFORCER ALARMS</t>
  </si>
  <si>
    <t>ENGWATA</t>
  </si>
  <si>
    <t>FANTASY BAKERS</t>
  </si>
  <si>
    <t>FARHAN FARM LLP</t>
  </si>
  <si>
    <t>FEA MAINTAINANCE</t>
  </si>
  <si>
    <t>FIVE IN ONE</t>
  </si>
  <si>
    <t>FREDRICK MBOYA</t>
  </si>
  <si>
    <t>GADGETRONIX</t>
  </si>
  <si>
    <t>GHANSHYAM</t>
  </si>
  <si>
    <t>GREENWOOD VILLAGE</t>
  </si>
  <si>
    <t>HADIJA MALINDI</t>
  </si>
  <si>
    <t>HOPIN SUPERMARKET</t>
  </si>
  <si>
    <t>HUZEFFA</t>
  </si>
  <si>
    <t>JAI HARI SUPERMARKET</t>
  </si>
  <si>
    <t>J.B FRIES</t>
  </si>
  <si>
    <t>JEEVANJEE</t>
  </si>
  <si>
    <t>JOSEPH MWENDWA</t>
  </si>
  <si>
    <t>KULLUKUM</t>
  </si>
  <si>
    <t>LAVISH CAKE</t>
  </si>
  <si>
    <t>LAWIN &amp; ALLB</t>
  </si>
  <si>
    <t>LUCKY MART</t>
  </si>
  <si>
    <t>MAGUNAS</t>
  </si>
  <si>
    <t>MAMUSH HOTEL</t>
  </si>
  <si>
    <t>MANEK G/STORE</t>
  </si>
  <si>
    <t>MASHALLAH CANDY SHOP</t>
  </si>
  <si>
    <t>MAREREN SHOP</t>
  </si>
  <si>
    <t>MERIDIAN</t>
  </si>
  <si>
    <t>MINI BAKERIES</t>
  </si>
  <si>
    <t>MSA BLUEROOM</t>
  </si>
  <si>
    <t>MSA CLUB</t>
  </si>
  <si>
    <t>MSA DISHES</t>
  </si>
  <si>
    <t>MSA VILLAGE</t>
  </si>
  <si>
    <t>MULTI GROCERS</t>
  </si>
  <si>
    <t>MUTHAIGA</t>
  </si>
  <si>
    <t>NASH PALOR</t>
  </si>
  <si>
    <t>NEW UKUNDA SERVICES</t>
  </si>
  <si>
    <t>ONE STOP</t>
  </si>
  <si>
    <t>RAHILU</t>
  </si>
  <si>
    <t>ROYAL SUPERMARKET</t>
  </si>
  <si>
    <t>SAMRAT</t>
  </si>
  <si>
    <t>SCOOP OF BLISS</t>
  </si>
  <si>
    <t>SEVEN 2 SEVEN</t>
  </si>
  <si>
    <t>SHABNUU ENTERPRISES</t>
  </si>
  <si>
    <t>SHREE GREEN</t>
  </si>
  <si>
    <t>SIBCO FOODMART</t>
  </si>
  <si>
    <t>SOWETO BUTCHERY</t>
  </si>
  <si>
    <t>SUNSAFI VENTURE</t>
  </si>
  <si>
    <t>SUUDAY MINIMART</t>
  </si>
  <si>
    <t>TAHERI FAST FOOD</t>
  </si>
  <si>
    <t>TEMPTATIONS GELATERIA</t>
  </si>
  <si>
    <t>THE OFFICE MART</t>
  </si>
  <si>
    <t>TAWHEED SHOP</t>
  </si>
  <si>
    <t>TURTLE BAY</t>
  </si>
  <si>
    <t>VIPINGO GATES</t>
  </si>
  <si>
    <t>ZAFY ICE CREAM</t>
  </si>
  <si>
    <t>ZULEKHA AHMED</t>
  </si>
  <si>
    <t>OFFICE SALES - 2026</t>
  </si>
  <si>
    <t>ARTCAFFE</t>
  </si>
  <si>
    <t>PHILLIPS THERAPEUTICS</t>
  </si>
  <si>
    <t>CAROLINE NJERI (SEA BREEZE)</t>
  </si>
  <si>
    <t>MA-ISSA</t>
  </si>
  <si>
    <t>ARTLAND HOTEL</t>
  </si>
  <si>
    <t>ABAAS HAZAD</t>
  </si>
  <si>
    <t>ABOO CATERING</t>
  </si>
  <si>
    <t>ACE CONSULTING &amp; TAX</t>
  </si>
  <si>
    <t>ALAWUYAH BLISSFUL</t>
  </si>
  <si>
    <t>ALIKHA CATERING</t>
  </si>
  <si>
    <t>ALI MANDHIY</t>
  </si>
  <si>
    <t>ALL UNDER 1 ROOF</t>
  </si>
  <si>
    <t>ANDREW MUUO</t>
  </si>
  <si>
    <t>ANWER GARAGE</t>
  </si>
  <si>
    <t>ARIF BBQ</t>
  </si>
  <si>
    <t>ARIF SHOP</t>
  </si>
  <si>
    <t>ASMALIA INVESTMENTS</t>
  </si>
  <si>
    <t>AVASI LTD</t>
  </si>
  <si>
    <t>BAFAGIH</t>
  </si>
  <si>
    <t>BEATRICE NGUGI</t>
  </si>
  <si>
    <t>BENARD MSA</t>
  </si>
  <si>
    <t>BETHEL BROOKE</t>
  </si>
  <si>
    <t>CAMEL JOINT</t>
  </si>
  <si>
    <t>CASH SALE CONTROL A/C</t>
  </si>
  <si>
    <t>CHEF ROYALE</t>
  </si>
  <si>
    <t>CHOPIT EXPRESS</t>
  </si>
  <si>
    <t>CLEMENCIA</t>
  </si>
  <si>
    <t>COAST IRON</t>
  </si>
  <si>
    <t>CULINARY (GROUNDED BULL)</t>
  </si>
  <si>
    <t>DAVID GASINGA</t>
  </si>
  <si>
    <t>DELI SUB LTD</t>
  </si>
  <si>
    <t>DREAM CREAMS</t>
  </si>
  <si>
    <t>EUNICE NAMENYA</t>
  </si>
  <si>
    <t>EVERLINE VOI</t>
  </si>
  <si>
    <t>FRANCIS MUTUKO</t>
  </si>
  <si>
    <t>FRESHWAYS BAKERY</t>
  </si>
  <si>
    <t>GATES &amp; BARRIERS</t>
  </si>
  <si>
    <t>HANNUS JUICE PARLOUR</t>
  </si>
  <si>
    <t>HARE KRISHNA</t>
  </si>
  <si>
    <t>JADEVINE VENTURES</t>
  </si>
  <si>
    <t>JAFFER SAID</t>
  </si>
  <si>
    <t>LOISE RUGURU</t>
  </si>
  <si>
    <t>MAHARAJA S/CHANDLERS</t>
  </si>
  <si>
    <t>MAHEBOOB CAFÉ</t>
  </si>
  <si>
    <t>MAM BUTCHERY</t>
  </si>
  <si>
    <t>MANTRACK 2000</t>
  </si>
  <si>
    <t>MBARAK ABEID</t>
  </si>
  <si>
    <t>MICHAEL KINYILI</t>
  </si>
  <si>
    <t>MILLENIUM</t>
  </si>
  <si>
    <t>MOHAMED OMAR SAID</t>
  </si>
  <si>
    <t>MSA S/CHANDLERS</t>
  </si>
  <si>
    <t>MUNCH KENYA</t>
  </si>
  <si>
    <t>MWAKIKI</t>
  </si>
  <si>
    <t>NAHEED NAHID</t>
  </si>
  <si>
    <t>NEBB &amp; R MINI MART</t>
  </si>
  <si>
    <t>NEW CHETNA</t>
  </si>
  <si>
    <t>NYALI GOLF CLUB</t>
  </si>
  <si>
    <t>PETER IVIA</t>
  </si>
  <si>
    <t>PETER MUTIRYA</t>
  </si>
  <si>
    <t>PRONTO NYALI</t>
  </si>
  <si>
    <t>PURITECH</t>
  </si>
  <si>
    <t>SALMA MOHAMED</t>
  </si>
  <si>
    <t>SAMSON MSA</t>
  </si>
  <si>
    <t>SATAO CAMP</t>
  </si>
  <si>
    <t>SHAAM E BAHAR</t>
  </si>
  <si>
    <t>SHIA ITHNASHRI MSQ</t>
  </si>
  <si>
    <t>SOY RESTAURANT</t>
  </si>
  <si>
    <t>STEPHEN MUTINDA</t>
  </si>
  <si>
    <t>SWAHILI ICE CREAM</t>
  </si>
  <si>
    <t>TUDOR MSQ</t>
  </si>
  <si>
    <t>TYCENO MOVERS</t>
  </si>
  <si>
    <t>ZEIPA KENYA</t>
  </si>
  <si>
    <t>ZULFIQAR PLASTICS</t>
  </si>
  <si>
    <t>SIMBISA BRANDS</t>
  </si>
  <si>
    <t>DREAM CREAMS - HIGHLIFE</t>
  </si>
  <si>
    <t>DREAM CREAMS - GANJONI</t>
  </si>
  <si>
    <t>LITTLE FLOWERS</t>
  </si>
  <si>
    <t>FREE ISSUE</t>
  </si>
  <si>
    <t>MIRA HEIGHTS</t>
  </si>
  <si>
    <t>MEDINA ENTERPRISES</t>
  </si>
  <si>
    <t>MARINA SEASIDE</t>
  </si>
  <si>
    <t>FAZA CAFÉ</t>
  </si>
  <si>
    <t>SARAY CREAMERY</t>
  </si>
  <si>
    <t>MARHABA GROCERY</t>
  </si>
  <si>
    <t>ADAMS GRILL</t>
  </si>
  <si>
    <t>BOBA STOP</t>
  </si>
  <si>
    <t>CINAMMON FLAVOR</t>
  </si>
  <si>
    <t>DRIP BURGER</t>
  </si>
  <si>
    <t>DINNAZ</t>
  </si>
  <si>
    <t>CHAKERI ENTERPRISE</t>
  </si>
  <si>
    <t>FLAVOR TOWN CAFÉ</t>
  </si>
  <si>
    <t>HOTEL COMSTER MTWAPA</t>
  </si>
  <si>
    <t>LIDO BEACH</t>
  </si>
  <si>
    <t>LIGHTPULSE MALINDI</t>
  </si>
  <si>
    <t>MN KAFE</t>
  </si>
  <si>
    <t>SOMAKI</t>
  </si>
  <si>
    <t>DOMANT ACCONTS</t>
  </si>
  <si>
    <t>ABDULKADER MOHAMED</t>
  </si>
  <si>
    <t>AMANI ANGANI</t>
  </si>
  <si>
    <t>AMANI S/MARKET</t>
  </si>
  <si>
    <t>ANN BARAKA</t>
  </si>
  <si>
    <t>BABY CUPS</t>
  </si>
  <si>
    <t>BACCHUS GROCERS</t>
  </si>
  <si>
    <t>BESTWAYS (MAJI ASILI)</t>
  </si>
  <si>
    <t>BESTWAYS ZAMZAM</t>
  </si>
  <si>
    <t>BURHANI BAKERS</t>
  </si>
  <si>
    <t>DISII TRADERS (MSHOMORONI)</t>
  </si>
  <si>
    <t>DIVINE SHIP</t>
  </si>
  <si>
    <t>DREAM BAKERS</t>
  </si>
  <si>
    <t>EMIRATES CAFÉ</t>
  </si>
  <si>
    <t>FROZEN TREATS</t>
  </si>
  <si>
    <t>GLAM CAKE</t>
  </si>
  <si>
    <t>GSTOP PROVISION</t>
  </si>
  <si>
    <t>HAKIM</t>
  </si>
  <si>
    <t>HILDA ICE CREAM</t>
  </si>
  <si>
    <t>HUSTLER S/MARKET (KIEMBENI)</t>
  </si>
  <si>
    <t>HUSTLER S/MARKET (BAM. FISHERY)</t>
  </si>
  <si>
    <t>IRFAN MM</t>
  </si>
  <si>
    <t>JUICE BOX</t>
  </si>
  <si>
    <t>JUMEIRA</t>
  </si>
  <si>
    <t>LOVE &amp; JOY</t>
  </si>
  <si>
    <t>MABINI S/MARKET</t>
  </si>
  <si>
    <t>MACKINON TRADERS</t>
  </si>
  <si>
    <t>MALINDI BEST PARLOUR</t>
  </si>
  <si>
    <t>MALINDI GREEN GROCER</t>
  </si>
  <si>
    <t>MAMA LUCY</t>
  </si>
  <si>
    <t>MARRIS MART</t>
  </si>
  <si>
    <t>MASAA FROST</t>
  </si>
  <si>
    <t>M.B SALOO</t>
  </si>
  <si>
    <t>MERCHANTILE</t>
  </si>
  <si>
    <t>MIRITINI WHOLESALERS</t>
  </si>
  <si>
    <t>MUBIN CAFÉ</t>
  </si>
  <si>
    <t>MUTHUU</t>
  </si>
  <si>
    <t>NANA MSA</t>
  </si>
  <si>
    <t>OMIX SHOP</t>
  </si>
  <si>
    <t>PIZZA LOUNGE</t>
  </si>
  <si>
    <t>PUSSY SHOP</t>
  </si>
  <si>
    <t>RIMAAS BBQ</t>
  </si>
  <si>
    <t>ROBOT CAFÉ</t>
  </si>
  <si>
    <t>SABAH SWALEH</t>
  </si>
  <si>
    <t>SADRUS CAFÉ</t>
  </si>
  <si>
    <t>SAMAA ENTERPRISE</t>
  </si>
  <si>
    <t>SAROVA HOTEL</t>
  </si>
  <si>
    <t>SASON LTD</t>
  </si>
  <si>
    <t>SAYANI SUPPLIES</t>
  </si>
  <si>
    <t>SHERNEY PARLOUR</t>
  </si>
  <si>
    <t>SNO SUNDAE</t>
  </si>
  <si>
    <t>SOKO YAKO</t>
  </si>
  <si>
    <t>SUN N SAND</t>
  </si>
  <si>
    <t>TAWAKAL TRADERS</t>
  </si>
  <si>
    <t>T&amp;T RESTAURANT</t>
  </si>
  <si>
    <t>UMM SWALEH</t>
  </si>
  <si>
    <t>VASCO SHOP</t>
  </si>
  <si>
    <t>ZACHARIA MS</t>
  </si>
  <si>
    <t>ZAFARA CONSTRUCTION</t>
  </si>
  <si>
    <t>DREAMY MATCHA</t>
  </si>
  <si>
    <t>MUBINS CAFÉ</t>
  </si>
  <si>
    <t>GRAND APPETITE</t>
  </si>
  <si>
    <t>AMOO CAFÉ</t>
  </si>
  <si>
    <t>AL - YASMIN DISHES</t>
  </si>
  <si>
    <t>MEMON VILLA</t>
  </si>
  <si>
    <t>QUADCOM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</si>
</sst>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2"/>
      <color theme="5" tint="-0.249977111117893"/>
      <name val="Calibri"/>
      <family val="2"/>
      <scheme val="minor"/>
    </font>
    <font>
      <b/>
      <sz val="22"/>
      <color theme="9" tint="-0.249977111117893"/>
      <name val="Calibri"/>
      <family val="2"/>
      <scheme val="minor"/>
    </font>
    <font>
      <b/>
      <sz val="22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2"/>
      <color rgb="FFFF0000"/>
      <name val="Calibri"/>
      <family val="2"/>
      <scheme val="minor"/>
    </font>
    <font>
      <b/>
      <u/>
      <sz val="16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43" fontId="1" fillId="0" borderId="1" xfId="1" applyFont="1" applyBorder="1"/>
    <xf numFmtId="43" fontId="1" fillId="0" borderId="0" xfId="1" applyFont="1"/>
    <xf numFmtId="0" fontId="9" fillId="0" borderId="1" xfId="0" applyFont="1" applyBorder="1"/>
    <xf numFmtId="43" fontId="9" fillId="0" borderId="1" xfId="0" applyNumberFormat="1" applyFont="1" applyBorder="1"/>
    <xf numFmtId="0" fontId="10" fillId="0" borderId="2" xfId="0" applyFont="1" applyBorder="1" applyAlignment="1">
      <alignment horizontal="center"/>
    </xf>
    <xf numFmtId="43" fontId="9" fillId="0" borderId="1" xfId="1" applyFont="1" applyBorder="1"/>
    <xf numFmtId="43" fontId="9" fillId="0" borderId="1" xfId="1" applyFont="1" applyBorder="1" applyAlignment="1">
      <alignment horizontal="center" vertical="center"/>
    </xf>
    <xf numFmtId="43" fontId="9" fillId="0" borderId="1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  <pageSetUpPr fitToPage="1"/>
  </sheetPr>
  <dimension ref="A1:O8"/>
  <sheetViews>
    <sheetView workbookViewId="0">
      <selection activeCell="G8" sqref="G8"/>
    </sheetView>
  </sheetViews>
  <sheetFormatPr defaultRowHeight="14.5" x14ac:dyDescent="0.35"/>
  <cols>
    <col min="1" max="1" width="3.7265625" customWidth="1"/>
    <col min="2" max="2" width="23.7265625" customWidth="1"/>
    <col min="3" max="3" width="14" customWidth="1"/>
    <col min="4" max="6" width="14.26953125" bestFit="1" customWidth="1"/>
    <col min="7" max="7" width="18" customWidth="1"/>
    <col min="8" max="8" width="10.453125" customWidth="1"/>
    <col min="9" max="9" width="11.81640625" customWidth="1"/>
    <col min="10" max="10" width="12.81640625" customWidth="1"/>
    <col min="11" max="11" width="13.1796875" customWidth="1"/>
    <col min="12" max="12" width="13" customWidth="1"/>
    <col min="13" max="13" width="11.54296875" customWidth="1"/>
    <col min="14" max="14" width="14.81640625" customWidth="1"/>
    <col min="15" max="15" width="15" customWidth="1"/>
  </cols>
  <sheetData>
    <row r="1" spans="1:15" ht="28.5" x14ac:dyDescent="0.65">
      <c r="A1" s="13" t="s">
        <v>99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15.5" x14ac:dyDescent="0.35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17</v>
      </c>
    </row>
    <row r="3" spans="1:15" x14ac:dyDescent="0.35">
      <c r="A3" s="2">
        <v>1</v>
      </c>
      <c r="B3" s="2" t="s">
        <v>13</v>
      </c>
      <c r="C3" s="5">
        <v>2464122</v>
      </c>
      <c r="D3" s="5">
        <v>2045691</v>
      </c>
      <c r="E3" s="5">
        <v>2463690</v>
      </c>
      <c r="F3" s="5">
        <v>1812943</v>
      </c>
      <c r="G3" s="5">
        <v>1820549</v>
      </c>
      <c r="H3" s="2"/>
      <c r="I3" s="2"/>
      <c r="J3" s="2"/>
      <c r="K3" s="2"/>
      <c r="L3" s="2"/>
      <c r="M3" s="2"/>
      <c r="N3" s="2"/>
      <c r="O3" s="10">
        <f>SUM(C3,D3,E3,F3,G3,H3,I3,J3,K3,L3,M3,N3,)</f>
        <v>10606995</v>
      </c>
    </row>
    <row r="4" spans="1:15" x14ac:dyDescent="0.35">
      <c r="A4" s="2">
        <v>2</v>
      </c>
      <c r="B4" s="2" t="s">
        <v>14</v>
      </c>
      <c r="C4" s="5">
        <v>3198733</v>
      </c>
      <c r="D4" s="5">
        <v>2625788</v>
      </c>
      <c r="E4" s="5">
        <v>2898306</v>
      </c>
      <c r="F4" s="5">
        <v>3613896</v>
      </c>
      <c r="G4" s="5">
        <v>1968857</v>
      </c>
      <c r="H4" s="2"/>
      <c r="I4" s="2"/>
      <c r="J4" s="2"/>
      <c r="K4" s="2"/>
      <c r="L4" s="2"/>
      <c r="M4" s="2"/>
      <c r="N4" s="2"/>
      <c r="O4" s="10">
        <f t="shared" ref="O4:O7" si="0">SUM(C4,D4,E4,F4,G4,H4,I4,J4,K4,L4,M4,N4,)</f>
        <v>14305580</v>
      </c>
    </row>
    <row r="5" spans="1:15" x14ac:dyDescent="0.35">
      <c r="A5" s="2">
        <v>3</v>
      </c>
      <c r="B5" s="2" t="s">
        <v>15</v>
      </c>
      <c r="C5" s="5">
        <v>7888105</v>
      </c>
      <c r="D5" s="5">
        <v>6992796</v>
      </c>
      <c r="E5" s="5">
        <v>8839309</v>
      </c>
      <c r="F5" s="5">
        <v>8152702</v>
      </c>
      <c r="G5" s="5">
        <v>6530132</v>
      </c>
      <c r="H5" s="2"/>
      <c r="I5" s="2"/>
      <c r="J5" s="2"/>
      <c r="K5" s="2"/>
      <c r="L5" s="2"/>
      <c r="M5" s="2"/>
      <c r="N5" s="2"/>
      <c r="O5" s="10">
        <f t="shared" si="0"/>
        <v>38403044</v>
      </c>
    </row>
    <row r="6" spans="1:15" x14ac:dyDescent="0.35">
      <c r="A6" s="2">
        <v>4</v>
      </c>
      <c r="B6" s="2" t="s">
        <v>16</v>
      </c>
      <c r="C6" s="5">
        <v>2189753</v>
      </c>
      <c r="D6" s="5">
        <v>2610798</v>
      </c>
      <c r="E6" s="5">
        <v>2437519</v>
      </c>
      <c r="F6" s="5">
        <v>2822789</v>
      </c>
      <c r="G6" s="5">
        <v>2647756</v>
      </c>
      <c r="H6" s="2"/>
      <c r="I6" s="2"/>
      <c r="J6" s="2"/>
      <c r="K6" s="2"/>
      <c r="L6" s="2"/>
      <c r="M6" s="2"/>
      <c r="N6" s="2"/>
      <c r="O6" s="10">
        <f t="shared" si="0"/>
        <v>12708615</v>
      </c>
    </row>
    <row r="7" spans="1:15" x14ac:dyDescent="0.35">
      <c r="A7" s="2">
        <v>5</v>
      </c>
      <c r="B7" s="2" t="s">
        <v>258</v>
      </c>
      <c r="C7" s="5">
        <v>1012862</v>
      </c>
      <c r="D7" s="5">
        <v>878119</v>
      </c>
      <c r="E7" s="5">
        <v>1170503</v>
      </c>
      <c r="F7" s="5">
        <v>1131555</v>
      </c>
      <c r="G7" s="5">
        <v>1121183</v>
      </c>
      <c r="H7" s="2"/>
      <c r="I7" s="2"/>
      <c r="J7" s="2"/>
      <c r="K7" s="2"/>
      <c r="L7" s="2"/>
      <c r="M7" s="2"/>
      <c r="N7" s="2"/>
      <c r="O7" s="10">
        <f t="shared" si="0"/>
        <v>5314222</v>
      </c>
    </row>
    <row r="8" spans="1:15" x14ac:dyDescent="0.35">
      <c r="A8" s="2"/>
      <c r="B8" s="7" t="s">
        <v>17</v>
      </c>
      <c r="C8" s="8">
        <f>SUM(C3:C7)</f>
        <v>16753575</v>
      </c>
      <c r="D8" s="8">
        <f t="shared" ref="D8:N8" si="1">SUM(D3:D7)</f>
        <v>15153192</v>
      </c>
      <c r="E8" s="8">
        <f t="shared" si="1"/>
        <v>17809327</v>
      </c>
      <c r="F8" s="8">
        <f t="shared" si="1"/>
        <v>17533885</v>
      </c>
      <c r="G8" s="8">
        <f t="shared" si="1"/>
        <v>14088477</v>
      </c>
      <c r="H8" s="8">
        <f t="shared" si="1"/>
        <v>0</v>
      </c>
      <c r="I8" s="8">
        <f t="shared" si="1"/>
        <v>0</v>
      </c>
      <c r="J8" s="8">
        <f t="shared" si="1"/>
        <v>0</v>
      </c>
      <c r="K8" s="8">
        <f t="shared" si="1"/>
        <v>0</v>
      </c>
      <c r="L8" s="8">
        <f t="shared" si="1"/>
        <v>0</v>
      </c>
      <c r="M8" s="8">
        <f t="shared" si="1"/>
        <v>0</v>
      </c>
      <c r="N8" s="8">
        <f t="shared" si="1"/>
        <v>0</v>
      </c>
      <c r="O8" s="8">
        <f>SUM(O3:O7)</f>
        <v>81338456</v>
      </c>
    </row>
  </sheetData>
  <mergeCells count="1">
    <mergeCell ref="A1:O1"/>
  </mergeCells>
  <pageMargins left="0.7" right="0.7" top="0.75" bottom="0.75" header="0.3" footer="0.3"/>
  <pageSetup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O139"/>
  <sheetViews>
    <sheetView tabSelected="1" workbookViewId="0">
      <selection activeCell="B147" sqref="B147"/>
    </sheetView>
  </sheetViews>
  <sheetFormatPr defaultRowHeight="14.5" x14ac:dyDescent="0.35"/>
  <cols>
    <col min="1" max="1" width="4" customWidth="1"/>
    <col min="2" max="2" width="27.26953125" customWidth="1"/>
    <col min="3" max="3" width="14.26953125" customWidth="1"/>
    <col min="4" max="4" width="14.81640625" customWidth="1"/>
    <col min="5" max="5" width="13.26953125" bestFit="1" customWidth="1"/>
    <col min="6" max="6" width="13.26953125" customWidth="1"/>
    <col min="7" max="7" width="14.26953125" customWidth="1"/>
    <col min="10" max="10" width="11.81640625" customWidth="1"/>
    <col min="11" max="11" width="13.81640625" customWidth="1"/>
    <col min="12" max="12" width="13.26953125" customWidth="1"/>
    <col min="13" max="13" width="12.453125" customWidth="1"/>
    <col min="14" max="14" width="12.54296875" customWidth="1"/>
    <col min="15" max="15" width="14.54296875" customWidth="1"/>
  </cols>
  <sheetData>
    <row r="1" spans="1:15" ht="28.5" x14ac:dyDescent="0.65">
      <c r="A1" s="4"/>
      <c r="B1" s="15" t="s">
        <v>98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5" x14ac:dyDescent="0.35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9" t="s">
        <v>17</v>
      </c>
    </row>
    <row r="3" spans="1:15" x14ac:dyDescent="0.35">
      <c r="A3" s="2">
        <v>1</v>
      </c>
      <c r="B3" s="2" t="s">
        <v>18</v>
      </c>
      <c r="C3" s="5">
        <v>4378</v>
      </c>
      <c r="D3" s="5">
        <v>4378</v>
      </c>
      <c r="E3" s="5">
        <v>2520</v>
      </c>
      <c r="F3" s="5">
        <v>4378</v>
      </c>
      <c r="G3" s="5">
        <v>3360</v>
      </c>
      <c r="H3" s="5"/>
      <c r="I3" s="5"/>
      <c r="J3" s="5"/>
      <c r="K3" s="5"/>
      <c r="L3" s="5"/>
      <c r="M3" s="5"/>
      <c r="N3" s="5"/>
      <c r="O3" s="11">
        <f>SUM(C3:N3)</f>
        <v>19014</v>
      </c>
    </row>
    <row r="4" spans="1:15" x14ac:dyDescent="0.35">
      <c r="A4" s="2">
        <v>2</v>
      </c>
      <c r="B4" s="2" t="s">
        <v>190</v>
      </c>
      <c r="C4" s="5">
        <v>0</v>
      </c>
      <c r="D4" s="5">
        <v>7300</v>
      </c>
      <c r="E4" s="5">
        <v>7300</v>
      </c>
      <c r="F4" s="5">
        <v>0</v>
      </c>
      <c r="G4" s="5">
        <v>0</v>
      </c>
      <c r="H4" s="5"/>
      <c r="I4" s="5"/>
      <c r="J4" s="5"/>
      <c r="K4" s="5"/>
      <c r="L4" s="5"/>
      <c r="M4" s="5"/>
      <c r="N4" s="5"/>
      <c r="O4" s="11">
        <f t="shared" ref="O4:O73" si="0">SUM(C4:N4)</f>
        <v>14600</v>
      </c>
    </row>
    <row r="5" spans="1:15" x14ac:dyDescent="0.35">
      <c r="A5" s="2">
        <v>3</v>
      </c>
      <c r="B5" s="2" t="s">
        <v>191</v>
      </c>
      <c r="C5" s="5">
        <v>11000</v>
      </c>
      <c r="D5" s="5">
        <v>0</v>
      </c>
      <c r="E5" s="5">
        <v>11000</v>
      </c>
      <c r="F5" s="5">
        <v>30800</v>
      </c>
      <c r="G5" s="5">
        <v>20900</v>
      </c>
      <c r="H5" s="5"/>
      <c r="I5" s="5"/>
      <c r="J5" s="5"/>
      <c r="K5" s="5"/>
      <c r="L5" s="5"/>
      <c r="M5" s="5"/>
      <c r="N5" s="5"/>
      <c r="O5" s="11">
        <f t="shared" si="0"/>
        <v>73700</v>
      </c>
    </row>
    <row r="6" spans="1:15" x14ac:dyDescent="0.35">
      <c r="A6" s="2">
        <v>4</v>
      </c>
      <c r="B6" s="2" t="s">
        <v>269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/>
      <c r="I6" s="5"/>
      <c r="J6" s="5"/>
      <c r="K6" s="5"/>
      <c r="L6" s="5"/>
      <c r="M6" s="5"/>
      <c r="N6" s="5"/>
      <c r="O6" s="11">
        <f t="shared" si="0"/>
        <v>0</v>
      </c>
    </row>
    <row r="7" spans="1:15" x14ac:dyDescent="0.35">
      <c r="A7" s="2">
        <v>5</v>
      </c>
      <c r="B7" s="2" t="s">
        <v>19</v>
      </c>
      <c r="C7" s="5">
        <v>5968</v>
      </c>
      <c r="D7" s="5">
        <v>0</v>
      </c>
      <c r="E7" s="5">
        <v>6821</v>
      </c>
      <c r="F7" s="5">
        <v>2558</v>
      </c>
      <c r="G7" s="5">
        <v>7673</v>
      </c>
      <c r="H7" s="5"/>
      <c r="I7" s="5"/>
      <c r="J7" s="5"/>
      <c r="K7" s="5"/>
      <c r="L7" s="5"/>
      <c r="M7" s="5"/>
      <c r="N7" s="5"/>
      <c r="O7" s="11">
        <f t="shared" si="0"/>
        <v>23020</v>
      </c>
    </row>
    <row r="8" spans="1:15" x14ac:dyDescent="0.35">
      <c r="A8" s="2">
        <v>6</v>
      </c>
      <c r="B8" s="2" t="s">
        <v>195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/>
      <c r="I8" s="5"/>
      <c r="J8" s="5"/>
      <c r="K8" s="5"/>
      <c r="L8" s="5"/>
      <c r="M8" s="5"/>
      <c r="N8" s="5"/>
      <c r="O8" s="11">
        <f t="shared" si="0"/>
        <v>0</v>
      </c>
    </row>
    <row r="9" spans="1:15" x14ac:dyDescent="0.35">
      <c r="A9" s="2">
        <v>7</v>
      </c>
      <c r="B9" s="2" t="s">
        <v>194</v>
      </c>
      <c r="C9" s="5">
        <v>7300</v>
      </c>
      <c r="D9" s="5">
        <v>0</v>
      </c>
      <c r="E9" s="5">
        <v>21900</v>
      </c>
      <c r="F9" s="5">
        <v>0</v>
      </c>
      <c r="G9" s="5">
        <v>0</v>
      </c>
      <c r="H9" s="5"/>
      <c r="I9" s="5"/>
      <c r="J9" s="5"/>
      <c r="K9" s="5"/>
      <c r="L9" s="5"/>
      <c r="M9" s="5"/>
      <c r="N9" s="5"/>
      <c r="O9" s="11">
        <f t="shared" si="0"/>
        <v>29200</v>
      </c>
    </row>
    <row r="10" spans="1:15" x14ac:dyDescent="0.35">
      <c r="A10" s="2">
        <v>8</v>
      </c>
      <c r="B10" s="2" t="s">
        <v>344</v>
      </c>
      <c r="C10" s="5">
        <v>0</v>
      </c>
      <c r="D10" s="5">
        <v>0</v>
      </c>
      <c r="E10" s="5">
        <v>0</v>
      </c>
      <c r="F10" s="5">
        <v>0</v>
      </c>
      <c r="G10" s="5">
        <v>3410</v>
      </c>
      <c r="H10" s="5"/>
      <c r="I10" s="5"/>
      <c r="J10" s="5"/>
      <c r="K10" s="5"/>
      <c r="L10" s="5"/>
      <c r="M10" s="5"/>
      <c r="N10" s="5"/>
      <c r="O10" s="11">
        <f t="shared" si="0"/>
        <v>3410</v>
      </c>
    </row>
    <row r="11" spans="1:15" x14ac:dyDescent="0.35">
      <c r="A11" s="2">
        <v>9</v>
      </c>
      <c r="B11" s="2" t="s">
        <v>343</v>
      </c>
      <c r="C11" s="5">
        <v>0</v>
      </c>
      <c r="D11" s="5">
        <v>0</v>
      </c>
      <c r="E11" s="5">
        <v>0</v>
      </c>
      <c r="F11" s="5">
        <v>0</v>
      </c>
      <c r="G11" s="5">
        <v>6969</v>
      </c>
      <c r="H11" s="5"/>
      <c r="I11" s="5"/>
      <c r="J11" s="5"/>
      <c r="K11" s="5"/>
      <c r="L11" s="5"/>
      <c r="M11" s="5"/>
      <c r="N11" s="5"/>
      <c r="O11" s="11">
        <f t="shared" si="0"/>
        <v>6969</v>
      </c>
    </row>
    <row r="12" spans="1:15" x14ac:dyDescent="0.35">
      <c r="A12" s="2">
        <v>10</v>
      </c>
      <c r="B12" s="2" t="s">
        <v>199</v>
      </c>
      <c r="C12" s="5">
        <v>0</v>
      </c>
      <c r="D12" s="5">
        <v>8710</v>
      </c>
      <c r="E12" s="5">
        <v>3350</v>
      </c>
      <c r="F12" s="5">
        <v>0</v>
      </c>
      <c r="G12" s="5">
        <v>0</v>
      </c>
      <c r="H12" s="5"/>
      <c r="I12" s="5"/>
      <c r="J12" s="5"/>
      <c r="K12" s="5"/>
      <c r="L12" s="5"/>
      <c r="M12" s="5"/>
      <c r="N12" s="5"/>
      <c r="O12" s="11">
        <f t="shared" si="0"/>
        <v>12060</v>
      </c>
    </row>
    <row r="13" spans="1:15" x14ac:dyDescent="0.35">
      <c r="A13" s="2">
        <v>11</v>
      </c>
      <c r="B13" s="2" t="s">
        <v>185</v>
      </c>
      <c r="C13" s="5">
        <v>0</v>
      </c>
      <c r="D13" s="5">
        <v>0</v>
      </c>
      <c r="E13" s="5">
        <v>0</v>
      </c>
      <c r="F13" s="5">
        <v>45642</v>
      </c>
      <c r="G13" s="5">
        <v>31478</v>
      </c>
      <c r="H13" s="5"/>
      <c r="I13" s="5"/>
      <c r="J13" s="5"/>
      <c r="K13" s="5"/>
      <c r="L13" s="5"/>
      <c r="M13" s="5"/>
      <c r="N13" s="5"/>
      <c r="O13" s="11">
        <f t="shared" si="0"/>
        <v>77120</v>
      </c>
    </row>
    <row r="14" spans="1:15" x14ac:dyDescent="0.35">
      <c r="A14" s="2">
        <v>12</v>
      </c>
      <c r="B14" s="2" t="s">
        <v>189</v>
      </c>
      <c r="C14" s="5">
        <v>0</v>
      </c>
      <c r="D14" s="5">
        <v>0</v>
      </c>
      <c r="E14" s="5">
        <v>0</v>
      </c>
      <c r="F14" s="5">
        <v>9225</v>
      </c>
      <c r="G14" s="5">
        <v>10858</v>
      </c>
      <c r="H14" s="5"/>
      <c r="I14" s="5"/>
      <c r="J14" s="5"/>
      <c r="K14" s="5"/>
      <c r="L14" s="5"/>
      <c r="M14" s="5"/>
      <c r="N14" s="5"/>
      <c r="O14" s="11">
        <f t="shared" si="0"/>
        <v>20083</v>
      </c>
    </row>
    <row r="15" spans="1:15" x14ac:dyDescent="0.35">
      <c r="A15" s="2">
        <v>13</v>
      </c>
      <c r="B15" s="2" t="s">
        <v>21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/>
      <c r="I15" s="5"/>
      <c r="J15" s="5"/>
      <c r="K15" s="5"/>
      <c r="L15" s="5"/>
      <c r="M15" s="5"/>
      <c r="N15" s="5"/>
      <c r="O15" s="11">
        <f t="shared" si="0"/>
        <v>0</v>
      </c>
    </row>
    <row r="16" spans="1:15" x14ac:dyDescent="0.35">
      <c r="A16" s="2">
        <v>14</v>
      </c>
      <c r="B16" s="2" t="s">
        <v>22</v>
      </c>
      <c r="C16" s="5">
        <v>0</v>
      </c>
      <c r="D16" s="5">
        <v>0</v>
      </c>
      <c r="E16" s="5">
        <v>11084</v>
      </c>
      <c r="F16" s="5">
        <v>4263</v>
      </c>
      <c r="G16" s="5">
        <v>5116</v>
      </c>
      <c r="H16" s="5"/>
      <c r="I16" s="5"/>
      <c r="J16" s="5"/>
      <c r="K16" s="5"/>
      <c r="L16" s="5"/>
      <c r="M16" s="5"/>
      <c r="N16" s="5"/>
      <c r="O16" s="11">
        <f t="shared" si="0"/>
        <v>20463</v>
      </c>
    </row>
    <row r="17" spans="1:15" x14ac:dyDescent="0.35">
      <c r="A17" s="2">
        <v>15</v>
      </c>
      <c r="B17" s="2" t="s">
        <v>23</v>
      </c>
      <c r="C17" s="5">
        <v>13531</v>
      </c>
      <c r="D17" s="5">
        <v>18647</v>
      </c>
      <c r="E17" s="5">
        <v>17547</v>
      </c>
      <c r="F17" s="5">
        <v>22485</v>
      </c>
      <c r="G17" s="5">
        <v>4758</v>
      </c>
      <c r="H17" s="5"/>
      <c r="I17" s="5"/>
      <c r="J17" s="5"/>
      <c r="K17" s="5"/>
      <c r="L17" s="5"/>
      <c r="M17" s="5"/>
      <c r="N17" s="5"/>
      <c r="O17" s="11">
        <f t="shared" si="0"/>
        <v>76968</v>
      </c>
    </row>
    <row r="18" spans="1:15" x14ac:dyDescent="0.35">
      <c r="A18" s="2">
        <v>16</v>
      </c>
      <c r="B18" s="2" t="s">
        <v>24</v>
      </c>
      <c r="C18" s="5">
        <v>0</v>
      </c>
      <c r="D18" s="5">
        <v>8488</v>
      </c>
      <c r="E18" s="5">
        <v>27874</v>
      </c>
      <c r="F18" s="5">
        <v>5456</v>
      </c>
      <c r="G18" s="5">
        <v>9181</v>
      </c>
      <c r="H18" s="5"/>
      <c r="I18" s="5"/>
      <c r="J18" s="5"/>
      <c r="K18" s="5"/>
      <c r="L18" s="5"/>
      <c r="M18" s="5"/>
      <c r="N18" s="5"/>
      <c r="O18" s="11">
        <f t="shared" si="0"/>
        <v>50999</v>
      </c>
    </row>
    <row r="19" spans="1:15" x14ac:dyDescent="0.35">
      <c r="A19" s="2">
        <v>17</v>
      </c>
      <c r="B19" s="2" t="s">
        <v>25</v>
      </c>
      <c r="C19" s="5">
        <v>0</v>
      </c>
      <c r="D19" s="5">
        <v>0</v>
      </c>
      <c r="E19" s="5">
        <v>4000</v>
      </c>
      <c r="F19" s="5">
        <v>0</v>
      </c>
      <c r="G19" s="5">
        <v>4000</v>
      </c>
      <c r="H19" s="5"/>
      <c r="I19" s="5"/>
      <c r="J19" s="5"/>
      <c r="K19" s="5"/>
      <c r="L19" s="5"/>
      <c r="M19" s="5"/>
      <c r="N19" s="5"/>
      <c r="O19" s="11">
        <f t="shared" si="0"/>
        <v>8000</v>
      </c>
    </row>
    <row r="20" spans="1:15" x14ac:dyDescent="0.35">
      <c r="A20" s="2">
        <v>18</v>
      </c>
      <c r="B20" s="2" t="s">
        <v>26</v>
      </c>
      <c r="C20" s="5">
        <v>7498</v>
      </c>
      <c r="D20" s="5">
        <v>8078</v>
      </c>
      <c r="E20" s="5">
        <v>3848</v>
      </c>
      <c r="F20" s="5">
        <v>8548</v>
      </c>
      <c r="G20" s="5">
        <v>9810</v>
      </c>
      <c r="H20" s="5"/>
      <c r="I20" s="5"/>
      <c r="J20" s="5"/>
      <c r="K20" s="5"/>
      <c r="L20" s="5"/>
      <c r="M20" s="5"/>
      <c r="N20" s="5"/>
      <c r="O20" s="11">
        <f t="shared" si="0"/>
        <v>37782</v>
      </c>
    </row>
    <row r="21" spans="1:15" x14ac:dyDescent="0.35">
      <c r="A21" s="2">
        <v>19</v>
      </c>
      <c r="B21" s="2" t="s">
        <v>112</v>
      </c>
      <c r="C21" s="5">
        <v>51638</v>
      </c>
      <c r="D21" s="5">
        <v>0</v>
      </c>
      <c r="E21" s="5">
        <v>0</v>
      </c>
      <c r="F21" s="5">
        <v>15810</v>
      </c>
      <c r="G21" s="5">
        <v>15810</v>
      </c>
      <c r="H21" s="5"/>
      <c r="I21" s="5"/>
      <c r="J21" s="5"/>
      <c r="K21" s="5"/>
      <c r="L21" s="5"/>
      <c r="M21" s="5"/>
      <c r="N21" s="5"/>
      <c r="O21" s="11">
        <f t="shared" si="0"/>
        <v>83258</v>
      </c>
    </row>
    <row r="22" spans="1:15" x14ac:dyDescent="0.35">
      <c r="A22" s="2">
        <v>20</v>
      </c>
      <c r="B22" s="2" t="s">
        <v>27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/>
      <c r="I22" s="5"/>
      <c r="J22" s="5"/>
      <c r="K22" s="5"/>
      <c r="L22" s="5"/>
      <c r="M22" s="5"/>
      <c r="N22" s="5"/>
      <c r="O22" s="11">
        <f t="shared" si="0"/>
        <v>0</v>
      </c>
    </row>
    <row r="23" spans="1:15" x14ac:dyDescent="0.35">
      <c r="A23" s="2">
        <v>21</v>
      </c>
      <c r="B23" s="2" t="s">
        <v>28</v>
      </c>
      <c r="C23" s="5">
        <v>0</v>
      </c>
      <c r="D23" s="5">
        <v>21936</v>
      </c>
      <c r="E23" s="5">
        <v>13568</v>
      </c>
      <c r="F23" s="5">
        <v>11398</v>
      </c>
      <c r="G23" s="5">
        <v>14908</v>
      </c>
      <c r="H23" s="5"/>
      <c r="I23" s="5"/>
      <c r="J23" s="5"/>
      <c r="K23" s="5"/>
      <c r="L23" s="5"/>
      <c r="M23" s="5"/>
      <c r="N23" s="5"/>
      <c r="O23" s="11">
        <f t="shared" si="0"/>
        <v>61810</v>
      </c>
    </row>
    <row r="24" spans="1:15" x14ac:dyDescent="0.35">
      <c r="A24" s="2">
        <v>22</v>
      </c>
      <c r="B24" s="2" t="s">
        <v>270</v>
      </c>
      <c r="C24" s="5">
        <v>83750</v>
      </c>
      <c r="D24" s="5">
        <v>73076</v>
      </c>
      <c r="E24" s="5">
        <v>68290</v>
      </c>
      <c r="F24" s="5">
        <v>119296</v>
      </c>
      <c r="G24" s="5">
        <v>78340</v>
      </c>
      <c r="H24" s="5"/>
      <c r="I24" s="5"/>
      <c r="J24" s="5"/>
      <c r="K24" s="5"/>
      <c r="L24" s="5"/>
      <c r="M24" s="5"/>
      <c r="N24" s="5"/>
      <c r="O24" s="11">
        <f t="shared" si="0"/>
        <v>422752</v>
      </c>
    </row>
    <row r="25" spans="1:15" x14ac:dyDescent="0.35">
      <c r="A25" s="2">
        <v>23</v>
      </c>
      <c r="B25" s="2" t="s">
        <v>29</v>
      </c>
      <c r="C25" s="5">
        <v>3954</v>
      </c>
      <c r="D25" s="5">
        <v>2543</v>
      </c>
      <c r="E25" s="5">
        <v>9869</v>
      </c>
      <c r="F25" s="5">
        <v>9918</v>
      </c>
      <c r="G25" s="5">
        <v>2543</v>
      </c>
      <c r="H25" s="5"/>
      <c r="I25" s="5"/>
      <c r="J25" s="5"/>
      <c r="K25" s="5"/>
      <c r="L25" s="5"/>
      <c r="M25" s="5"/>
      <c r="N25" s="5"/>
      <c r="O25" s="11">
        <f t="shared" si="0"/>
        <v>28827</v>
      </c>
    </row>
    <row r="26" spans="1:15" x14ac:dyDescent="0.35">
      <c r="A26" s="2">
        <v>24</v>
      </c>
      <c r="B26" s="2" t="s">
        <v>30</v>
      </c>
      <c r="C26" s="5">
        <v>25502</v>
      </c>
      <c r="D26" s="5">
        <v>18666</v>
      </c>
      <c r="E26" s="5">
        <v>50214</v>
      </c>
      <c r="F26" s="5">
        <v>18665</v>
      </c>
      <c r="G26" s="5">
        <v>34643</v>
      </c>
      <c r="H26" s="5"/>
      <c r="I26" s="5"/>
      <c r="J26" s="5"/>
      <c r="K26" s="5"/>
      <c r="L26" s="5"/>
      <c r="M26" s="5"/>
      <c r="N26" s="5"/>
      <c r="O26" s="11">
        <f t="shared" si="0"/>
        <v>147690</v>
      </c>
    </row>
    <row r="27" spans="1:15" x14ac:dyDescent="0.35">
      <c r="A27" s="2">
        <v>25</v>
      </c>
      <c r="B27" s="2" t="s">
        <v>31</v>
      </c>
      <c r="C27" s="5">
        <v>8040</v>
      </c>
      <c r="D27" s="5">
        <v>8710</v>
      </c>
      <c r="E27" s="5">
        <v>0</v>
      </c>
      <c r="F27" s="5">
        <v>8040</v>
      </c>
      <c r="G27" s="5">
        <v>6700</v>
      </c>
      <c r="H27" s="5"/>
      <c r="I27" s="5"/>
      <c r="J27" s="5"/>
      <c r="K27" s="5"/>
      <c r="L27" s="5"/>
      <c r="M27" s="5"/>
      <c r="N27" s="5"/>
      <c r="O27" s="11">
        <f t="shared" si="0"/>
        <v>31490</v>
      </c>
    </row>
    <row r="28" spans="1:15" x14ac:dyDescent="0.35">
      <c r="A28" s="2">
        <v>26</v>
      </c>
      <c r="B28" s="2" t="s">
        <v>32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/>
      <c r="I28" s="5"/>
      <c r="J28" s="5"/>
      <c r="K28" s="5"/>
      <c r="L28" s="5"/>
      <c r="M28" s="5"/>
      <c r="N28" s="5"/>
      <c r="O28" s="11">
        <f t="shared" si="0"/>
        <v>0</v>
      </c>
    </row>
    <row r="29" spans="1:15" x14ac:dyDescent="0.35">
      <c r="A29" s="2">
        <v>27</v>
      </c>
      <c r="B29" s="2" t="s">
        <v>117</v>
      </c>
      <c r="C29" s="5">
        <v>35805</v>
      </c>
      <c r="D29" s="5">
        <v>47479</v>
      </c>
      <c r="E29" s="5">
        <v>44856</v>
      </c>
      <c r="F29" s="5">
        <v>43206</v>
      </c>
      <c r="G29" s="5">
        <v>48766</v>
      </c>
      <c r="H29" s="5"/>
      <c r="I29" s="5"/>
      <c r="J29" s="5"/>
      <c r="K29" s="5"/>
      <c r="L29" s="5"/>
      <c r="M29" s="5"/>
      <c r="N29" s="5"/>
      <c r="O29" s="11">
        <f t="shared" si="0"/>
        <v>220112</v>
      </c>
    </row>
    <row r="30" spans="1:15" x14ac:dyDescent="0.35">
      <c r="A30" s="2">
        <v>28</v>
      </c>
      <c r="B30" s="2" t="s">
        <v>207</v>
      </c>
      <c r="C30" s="5">
        <v>492140</v>
      </c>
      <c r="D30" s="5">
        <v>404566</v>
      </c>
      <c r="E30" s="5">
        <v>482338</v>
      </c>
      <c r="F30" s="5">
        <v>493006</v>
      </c>
      <c r="G30" s="5">
        <v>468942</v>
      </c>
      <c r="H30" s="5"/>
      <c r="I30" s="5"/>
      <c r="J30" s="5"/>
      <c r="K30" s="5"/>
      <c r="L30" s="5"/>
      <c r="M30" s="5"/>
      <c r="N30" s="5"/>
      <c r="O30" s="11">
        <f t="shared" si="0"/>
        <v>2340992</v>
      </c>
    </row>
    <row r="31" spans="1:15" x14ac:dyDescent="0.35">
      <c r="A31" s="2">
        <v>29</v>
      </c>
      <c r="B31" s="2" t="s">
        <v>274</v>
      </c>
      <c r="C31" s="5">
        <v>18940</v>
      </c>
      <c r="D31" s="5">
        <v>23948</v>
      </c>
      <c r="E31" s="5">
        <v>17492</v>
      </c>
      <c r="F31" s="5">
        <v>17696</v>
      </c>
      <c r="G31" s="5">
        <v>12562</v>
      </c>
      <c r="H31" s="5"/>
      <c r="I31" s="5"/>
      <c r="J31" s="5"/>
      <c r="K31" s="5"/>
      <c r="L31" s="5"/>
      <c r="M31" s="5"/>
      <c r="N31" s="5"/>
      <c r="O31" s="11">
        <f t="shared" si="0"/>
        <v>90638</v>
      </c>
    </row>
    <row r="32" spans="1:15" x14ac:dyDescent="0.35">
      <c r="A32" s="2">
        <v>30</v>
      </c>
      <c r="B32" s="2" t="s">
        <v>209</v>
      </c>
      <c r="C32" s="5">
        <v>7755</v>
      </c>
      <c r="D32" s="5">
        <v>0</v>
      </c>
      <c r="E32" s="5">
        <v>6158</v>
      </c>
      <c r="F32" s="5">
        <v>0</v>
      </c>
      <c r="G32" s="5">
        <v>0</v>
      </c>
      <c r="H32" s="5"/>
      <c r="I32" s="5"/>
      <c r="J32" s="5"/>
      <c r="K32" s="5"/>
      <c r="L32" s="5"/>
      <c r="M32" s="5"/>
      <c r="N32" s="5"/>
      <c r="O32" s="11">
        <f t="shared" si="0"/>
        <v>13913</v>
      </c>
    </row>
    <row r="33" spans="1:15" x14ac:dyDescent="0.35">
      <c r="A33" s="2">
        <v>31</v>
      </c>
      <c r="B33" s="2" t="s">
        <v>121</v>
      </c>
      <c r="C33" s="5">
        <v>840</v>
      </c>
      <c r="D33" s="5">
        <v>0</v>
      </c>
      <c r="E33" s="5">
        <v>2680</v>
      </c>
      <c r="F33" s="5">
        <v>0</v>
      </c>
      <c r="G33" s="5">
        <v>0</v>
      </c>
      <c r="H33" s="5"/>
      <c r="I33" s="5"/>
      <c r="J33" s="5"/>
      <c r="K33" s="5"/>
      <c r="L33" s="5"/>
      <c r="M33" s="5"/>
      <c r="N33" s="5"/>
      <c r="O33" s="11">
        <f t="shared" si="0"/>
        <v>3520</v>
      </c>
    </row>
    <row r="34" spans="1:15" x14ac:dyDescent="0.35">
      <c r="A34" s="2">
        <v>32</v>
      </c>
      <c r="B34" s="2" t="s">
        <v>210</v>
      </c>
      <c r="C34" s="5">
        <v>297844</v>
      </c>
      <c r="D34" s="5">
        <v>632534</v>
      </c>
      <c r="E34" s="5">
        <v>804466</v>
      </c>
      <c r="F34" s="5">
        <v>735994</v>
      </c>
      <c r="G34" s="5">
        <v>505262</v>
      </c>
      <c r="H34" s="5"/>
      <c r="I34" s="5"/>
      <c r="J34" s="5"/>
      <c r="K34" s="5"/>
      <c r="L34" s="5"/>
      <c r="M34" s="5"/>
      <c r="N34" s="5"/>
      <c r="O34" s="11">
        <f t="shared" si="0"/>
        <v>2976100</v>
      </c>
    </row>
    <row r="35" spans="1:15" x14ac:dyDescent="0.35">
      <c r="A35" s="2">
        <v>33</v>
      </c>
      <c r="B35" s="2" t="s">
        <v>271</v>
      </c>
      <c r="C35" s="5">
        <v>86013</v>
      </c>
      <c r="D35" s="5">
        <v>36799</v>
      </c>
      <c r="E35" s="5">
        <v>52044</v>
      </c>
      <c r="F35" s="5">
        <v>66926</v>
      </c>
      <c r="G35" s="5">
        <v>49243</v>
      </c>
      <c r="H35" s="5"/>
      <c r="I35" s="5"/>
      <c r="J35" s="5"/>
      <c r="K35" s="5"/>
      <c r="L35" s="5"/>
      <c r="M35" s="5"/>
      <c r="N35" s="5"/>
      <c r="O35" s="11">
        <f t="shared" si="0"/>
        <v>291025</v>
      </c>
    </row>
    <row r="36" spans="1:15" x14ac:dyDescent="0.35">
      <c r="A36" s="2">
        <v>34</v>
      </c>
      <c r="B36" s="2" t="s">
        <v>33</v>
      </c>
      <c r="C36" s="5">
        <v>22622</v>
      </c>
      <c r="D36" s="5">
        <v>21686</v>
      </c>
      <c r="E36" s="5">
        <v>45302</v>
      </c>
      <c r="F36" s="5">
        <v>61824</v>
      </c>
      <c r="G36" s="5">
        <v>64381</v>
      </c>
      <c r="H36" s="5"/>
      <c r="I36" s="5"/>
      <c r="J36" s="5"/>
      <c r="K36" s="5"/>
      <c r="L36" s="5"/>
      <c r="M36" s="5"/>
      <c r="N36" s="5"/>
      <c r="O36" s="11">
        <f t="shared" si="0"/>
        <v>215815</v>
      </c>
    </row>
    <row r="37" spans="1:15" x14ac:dyDescent="0.35">
      <c r="A37" s="2">
        <v>35</v>
      </c>
      <c r="B37" s="2" t="s">
        <v>34</v>
      </c>
      <c r="C37" s="5">
        <v>8280</v>
      </c>
      <c r="D37" s="5">
        <v>0</v>
      </c>
      <c r="E37" s="5">
        <v>0</v>
      </c>
      <c r="F37" s="5">
        <v>0</v>
      </c>
      <c r="G37" s="5">
        <v>0</v>
      </c>
      <c r="H37" s="5"/>
      <c r="I37" s="5"/>
      <c r="J37" s="5"/>
      <c r="K37" s="5"/>
      <c r="L37" s="5"/>
      <c r="M37" s="5"/>
      <c r="N37" s="5"/>
      <c r="O37" s="11">
        <f t="shared" si="0"/>
        <v>8280</v>
      </c>
    </row>
    <row r="38" spans="1:15" x14ac:dyDescent="0.35">
      <c r="A38" s="2">
        <v>36</v>
      </c>
      <c r="B38" s="2" t="s">
        <v>35</v>
      </c>
      <c r="C38" s="5">
        <v>91780</v>
      </c>
      <c r="D38" s="5">
        <v>79440</v>
      </c>
      <c r="E38" s="5">
        <v>115040</v>
      </c>
      <c r="F38" s="5">
        <v>114320</v>
      </c>
      <c r="G38" s="5">
        <v>122840</v>
      </c>
      <c r="H38" s="5"/>
      <c r="I38" s="5"/>
      <c r="J38" s="5"/>
      <c r="K38" s="5"/>
      <c r="L38" s="5"/>
      <c r="M38" s="5"/>
      <c r="N38" s="5"/>
      <c r="O38" s="11">
        <f t="shared" si="0"/>
        <v>523420</v>
      </c>
    </row>
    <row r="39" spans="1:15" x14ac:dyDescent="0.35">
      <c r="A39" s="2">
        <v>37</v>
      </c>
      <c r="B39" s="2" t="s">
        <v>36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/>
      <c r="I39" s="5"/>
      <c r="J39" s="5"/>
      <c r="K39" s="5"/>
      <c r="L39" s="5"/>
      <c r="M39" s="5"/>
      <c r="N39" s="5"/>
      <c r="O39" s="11">
        <f t="shared" si="0"/>
        <v>0</v>
      </c>
    </row>
    <row r="40" spans="1:15" x14ac:dyDescent="0.35">
      <c r="A40" s="2">
        <v>38</v>
      </c>
      <c r="B40" s="2" t="s">
        <v>213</v>
      </c>
      <c r="C40" s="5">
        <v>14102</v>
      </c>
      <c r="D40" s="5">
        <v>0</v>
      </c>
      <c r="E40" s="5">
        <v>0</v>
      </c>
      <c r="F40" s="5">
        <v>20085</v>
      </c>
      <c r="G40" s="5">
        <v>14780</v>
      </c>
      <c r="H40" s="5"/>
      <c r="I40" s="5"/>
      <c r="J40" s="5"/>
      <c r="K40" s="5"/>
      <c r="L40" s="5"/>
      <c r="M40" s="5"/>
      <c r="N40" s="5"/>
      <c r="O40" s="11">
        <f t="shared" si="0"/>
        <v>48967</v>
      </c>
    </row>
    <row r="41" spans="1:15" x14ac:dyDescent="0.35">
      <c r="A41" s="2">
        <v>39</v>
      </c>
      <c r="B41" s="2" t="s">
        <v>215</v>
      </c>
      <c r="C41" s="5">
        <v>8474</v>
      </c>
      <c r="D41" s="5">
        <v>0</v>
      </c>
      <c r="E41" s="5">
        <v>9750</v>
      </c>
      <c r="F41" s="5">
        <v>6151</v>
      </c>
      <c r="G41" s="5">
        <v>3599</v>
      </c>
      <c r="H41" s="5"/>
      <c r="I41" s="5"/>
      <c r="J41" s="5"/>
      <c r="K41" s="5"/>
      <c r="L41" s="5"/>
      <c r="M41" s="5"/>
      <c r="N41" s="5"/>
      <c r="O41" s="11">
        <f t="shared" si="0"/>
        <v>27974</v>
      </c>
    </row>
    <row r="42" spans="1:15" x14ac:dyDescent="0.35">
      <c r="A42" s="2">
        <v>40</v>
      </c>
      <c r="B42" s="2" t="s">
        <v>37</v>
      </c>
      <c r="C42" s="5">
        <v>69725</v>
      </c>
      <c r="D42" s="5">
        <v>37284</v>
      </c>
      <c r="E42" s="5">
        <v>66921</v>
      </c>
      <c r="F42" s="5">
        <v>105547</v>
      </c>
      <c r="G42" s="5">
        <v>53878</v>
      </c>
      <c r="H42" s="5"/>
      <c r="I42" s="5"/>
      <c r="J42" s="5"/>
      <c r="K42" s="5"/>
      <c r="L42" s="5"/>
      <c r="M42" s="5"/>
      <c r="N42" s="5"/>
      <c r="O42" s="11">
        <f t="shared" si="0"/>
        <v>333355</v>
      </c>
    </row>
    <row r="43" spans="1:15" x14ac:dyDescent="0.35">
      <c r="A43" s="2">
        <v>41</v>
      </c>
      <c r="B43" s="2" t="s">
        <v>273</v>
      </c>
      <c r="C43" s="5">
        <v>12075</v>
      </c>
      <c r="D43" s="5">
        <v>41400</v>
      </c>
      <c r="E43" s="5">
        <v>20300</v>
      </c>
      <c r="F43" s="5">
        <v>20300</v>
      </c>
      <c r="G43" s="5">
        <v>20300</v>
      </c>
      <c r="H43" s="5"/>
      <c r="I43" s="5"/>
      <c r="J43" s="5"/>
      <c r="K43" s="5"/>
      <c r="L43" s="5"/>
      <c r="M43" s="5"/>
      <c r="N43" s="5"/>
      <c r="O43" s="11">
        <f t="shared" si="0"/>
        <v>114375</v>
      </c>
    </row>
    <row r="44" spans="1:15" x14ac:dyDescent="0.35">
      <c r="A44" s="2">
        <v>42</v>
      </c>
      <c r="B44" s="2" t="s">
        <v>340</v>
      </c>
      <c r="C44" s="5">
        <v>0</v>
      </c>
      <c r="D44" s="5">
        <v>0</v>
      </c>
      <c r="E44" s="5">
        <v>0</v>
      </c>
      <c r="F44" s="5">
        <v>0</v>
      </c>
      <c r="G44" s="5">
        <v>5498</v>
      </c>
      <c r="H44" s="5"/>
      <c r="I44" s="5"/>
      <c r="J44" s="5"/>
      <c r="K44" s="5"/>
      <c r="L44" s="5"/>
      <c r="M44" s="5"/>
      <c r="N44" s="5"/>
      <c r="O44" s="11">
        <f t="shared" si="0"/>
        <v>5498</v>
      </c>
    </row>
    <row r="45" spans="1:15" x14ac:dyDescent="0.35">
      <c r="A45" s="2">
        <v>43</v>
      </c>
      <c r="B45" s="2" t="s">
        <v>272</v>
      </c>
      <c r="C45" s="5">
        <v>40200</v>
      </c>
      <c r="D45" s="5">
        <v>33500</v>
      </c>
      <c r="E45" s="5">
        <v>30150</v>
      </c>
      <c r="F45" s="5">
        <v>38190</v>
      </c>
      <c r="G45" s="5">
        <v>38860</v>
      </c>
      <c r="H45" s="5"/>
      <c r="I45" s="5"/>
      <c r="J45" s="5"/>
      <c r="K45" s="5"/>
      <c r="L45" s="5"/>
      <c r="M45" s="5"/>
      <c r="N45" s="5"/>
      <c r="O45" s="11">
        <f t="shared" si="0"/>
        <v>180900</v>
      </c>
    </row>
    <row r="46" spans="1:15" x14ac:dyDescent="0.35">
      <c r="A46" s="2">
        <v>44</v>
      </c>
      <c r="B46" s="2" t="s">
        <v>38</v>
      </c>
      <c r="C46" s="5">
        <v>1167</v>
      </c>
      <c r="D46" s="5">
        <v>0</v>
      </c>
      <c r="E46" s="5">
        <v>0</v>
      </c>
      <c r="F46" s="5">
        <v>0</v>
      </c>
      <c r="G46" s="5">
        <v>0</v>
      </c>
      <c r="H46" s="5"/>
      <c r="I46" s="5"/>
      <c r="J46" s="5"/>
      <c r="K46" s="5"/>
      <c r="L46" s="5"/>
      <c r="M46" s="5"/>
      <c r="N46" s="5"/>
      <c r="O46" s="11">
        <f t="shared" si="0"/>
        <v>1167</v>
      </c>
    </row>
    <row r="47" spans="1:15" x14ac:dyDescent="0.35">
      <c r="A47" s="2">
        <v>45</v>
      </c>
      <c r="B47" s="2" t="s">
        <v>89</v>
      </c>
      <c r="C47" s="5">
        <v>0</v>
      </c>
      <c r="D47" s="5">
        <v>0</v>
      </c>
      <c r="E47" s="5">
        <v>0</v>
      </c>
      <c r="F47" s="5">
        <v>5044</v>
      </c>
      <c r="G47" s="5">
        <v>0</v>
      </c>
      <c r="H47" s="5"/>
      <c r="I47" s="5"/>
      <c r="J47" s="5"/>
      <c r="K47" s="5"/>
      <c r="L47" s="5"/>
      <c r="M47" s="5"/>
      <c r="N47" s="5"/>
      <c r="O47" s="11">
        <f t="shared" si="0"/>
        <v>5044</v>
      </c>
    </row>
    <row r="48" spans="1:15" x14ac:dyDescent="0.35">
      <c r="A48" s="2">
        <v>46</v>
      </c>
      <c r="B48" s="2" t="s">
        <v>76</v>
      </c>
      <c r="C48" s="5">
        <v>68617</v>
      </c>
      <c r="D48" s="5">
        <v>102695</v>
      </c>
      <c r="E48" s="5">
        <v>134889</v>
      </c>
      <c r="F48" s="5">
        <v>108865</v>
      </c>
      <c r="G48" s="5">
        <v>89989</v>
      </c>
      <c r="H48" s="5"/>
      <c r="I48" s="5"/>
      <c r="J48" s="5"/>
      <c r="K48" s="5"/>
      <c r="L48" s="5"/>
      <c r="M48" s="5"/>
      <c r="N48" s="5"/>
      <c r="O48" s="11">
        <f t="shared" si="0"/>
        <v>505055</v>
      </c>
    </row>
    <row r="49" spans="1:15" x14ac:dyDescent="0.35">
      <c r="A49" s="2">
        <v>47</v>
      </c>
      <c r="B49" s="2" t="s">
        <v>266</v>
      </c>
      <c r="C49" s="5">
        <v>0</v>
      </c>
      <c r="D49" s="5">
        <v>0</v>
      </c>
      <c r="E49" s="5">
        <v>0</v>
      </c>
      <c r="F49" s="5">
        <v>0</v>
      </c>
      <c r="G49" s="5">
        <v>15611</v>
      </c>
      <c r="H49" s="5"/>
      <c r="I49" s="5"/>
      <c r="J49" s="5"/>
      <c r="K49" s="5"/>
      <c r="L49" s="5"/>
      <c r="M49" s="5"/>
      <c r="N49" s="5"/>
      <c r="O49" s="11">
        <f t="shared" si="0"/>
        <v>15611</v>
      </c>
    </row>
    <row r="50" spans="1:15" x14ac:dyDescent="0.35">
      <c r="A50" s="2">
        <v>48</v>
      </c>
      <c r="B50" s="2" t="s">
        <v>275</v>
      </c>
      <c r="C50" s="5">
        <v>23872</v>
      </c>
      <c r="D50" s="5">
        <v>7673</v>
      </c>
      <c r="E50" s="5">
        <v>0</v>
      </c>
      <c r="F50" s="5">
        <v>193557</v>
      </c>
      <c r="G50" s="5">
        <v>136013</v>
      </c>
      <c r="H50" s="5"/>
      <c r="I50" s="5"/>
      <c r="J50" s="5"/>
      <c r="K50" s="5"/>
      <c r="L50" s="5"/>
      <c r="M50" s="5"/>
      <c r="N50" s="5"/>
      <c r="O50" s="11">
        <f t="shared" si="0"/>
        <v>361115</v>
      </c>
    </row>
    <row r="51" spans="1:15" x14ac:dyDescent="0.35">
      <c r="A51" s="2">
        <v>49</v>
      </c>
      <c r="B51" s="2" t="s">
        <v>91</v>
      </c>
      <c r="C51" s="5">
        <v>0</v>
      </c>
      <c r="D51" s="5">
        <v>0</v>
      </c>
      <c r="E51" s="5">
        <v>0</v>
      </c>
      <c r="F51" s="5">
        <v>8418</v>
      </c>
      <c r="G51" s="5">
        <v>10529</v>
      </c>
      <c r="H51" s="5"/>
      <c r="I51" s="5"/>
      <c r="J51" s="5"/>
      <c r="K51" s="5"/>
      <c r="L51" s="5"/>
      <c r="M51" s="5"/>
      <c r="N51" s="5"/>
      <c r="O51" s="11">
        <f t="shared" si="0"/>
        <v>18947</v>
      </c>
    </row>
    <row r="52" spans="1:15" x14ac:dyDescent="0.35">
      <c r="A52" s="2">
        <v>50</v>
      </c>
      <c r="B52" s="2" t="s">
        <v>39</v>
      </c>
      <c r="C52" s="5">
        <v>21315</v>
      </c>
      <c r="D52" s="5">
        <v>0</v>
      </c>
      <c r="E52" s="5">
        <v>16200</v>
      </c>
      <c r="F52" s="5">
        <v>37514</v>
      </c>
      <c r="G52" s="5">
        <v>40924</v>
      </c>
      <c r="H52" s="5"/>
      <c r="I52" s="5"/>
      <c r="J52" s="5"/>
      <c r="K52" s="5"/>
      <c r="L52" s="5"/>
      <c r="M52" s="5"/>
      <c r="N52" s="5"/>
      <c r="O52" s="11">
        <f t="shared" si="0"/>
        <v>115953</v>
      </c>
    </row>
    <row r="53" spans="1:15" x14ac:dyDescent="0.35">
      <c r="A53" s="2">
        <v>51</v>
      </c>
      <c r="B53" s="2" t="s">
        <v>40</v>
      </c>
      <c r="C53" s="5">
        <v>43800</v>
      </c>
      <c r="D53" s="5">
        <v>14600</v>
      </c>
      <c r="E53" s="5">
        <v>0</v>
      </c>
      <c r="F53" s="5">
        <v>0</v>
      </c>
      <c r="G53" s="5">
        <v>0</v>
      </c>
      <c r="H53" s="5"/>
      <c r="I53" s="5"/>
      <c r="J53" s="5"/>
      <c r="K53" s="5"/>
      <c r="L53" s="5"/>
      <c r="M53" s="5"/>
      <c r="N53" s="5"/>
      <c r="O53" s="11">
        <f t="shared" si="0"/>
        <v>58400</v>
      </c>
    </row>
    <row r="54" spans="1:15" x14ac:dyDescent="0.35">
      <c r="A54" s="2">
        <v>52</v>
      </c>
      <c r="B54" s="2" t="s">
        <v>342</v>
      </c>
      <c r="C54" s="5">
        <v>0</v>
      </c>
      <c r="D54" s="5">
        <v>0</v>
      </c>
      <c r="E54" s="5">
        <v>0</v>
      </c>
      <c r="F54" s="5">
        <v>0</v>
      </c>
      <c r="G54" s="5">
        <v>7100</v>
      </c>
      <c r="H54" s="5"/>
      <c r="I54" s="5"/>
      <c r="J54" s="5"/>
      <c r="K54" s="5"/>
      <c r="L54" s="5"/>
      <c r="M54" s="5"/>
      <c r="N54" s="5"/>
      <c r="O54" s="11">
        <f t="shared" si="0"/>
        <v>7100</v>
      </c>
    </row>
    <row r="55" spans="1:15" x14ac:dyDescent="0.35">
      <c r="A55" s="2">
        <v>53</v>
      </c>
      <c r="B55" s="2" t="s">
        <v>41</v>
      </c>
      <c r="C55" s="5">
        <v>14545</v>
      </c>
      <c r="D55" s="5">
        <v>11356</v>
      </c>
      <c r="E55" s="5">
        <v>3759</v>
      </c>
      <c r="F55" s="5">
        <v>9994</v>
      </c>
      <c r="G55" s="5">
        <v>5838</v>
      </c>
      <c r="H55" s="5"/>
      <c r="I55" s="5"/>
      <c r="J55" s="5"/>
      <c r="K55" s="5"/>
      <c r="L55" s="5"/>
      <c r="M55" s="5"/>
      <c r="N55" s="5"/>
      <c r="O55" s="11">
        <f t="shared" si="0"/>
        <v>45492</v>
      </c>
    </row>
    <row r="56" spans="1:15" x14ac:dyDescent="0.35">
      <c r="A56" s="2">
        <v>54</v>
      </c>
      <c r="B56" s="2" t="s">
        <v>42</v>
      </c>
      <c r="C56" s="5">
        <v>0</v>
      </c>
      <c r="D56" s="5">
        <v>24400</v>
      </c>
      <c r="E56" s="5">
        <v>57900</v>
      </c>
      <c r="F56" s="5">
        <v>52800</v>
      </c>
      <c r="G56" s="5">
        <v>44800</v>
      </c>
      <c r="H56" s="5"/>
      <c r="I56" s="5"/>
      <c r="J56" s="5"/>
      <c r="K56" s="5"/>
      <c r="L56" s="5"/>
      <c r="M56" s="5"/>
      <c r="N56" s="5"/>
      <c r="O56" s="11">
        <f t="shared" si="0"/>
        <v>179900</v>
      </c>
    </row>
    <row r="57" spans="1:15" x14ac:dyDescent="0.35">
      <c r="A57" s="2">
        <v>55</v>
      </c>
      <c r="B57" s="2" t="s">
        <v>276</v>
      </c>
      <c r="C57" s="5">
        <v>16605</v>
      </c>
      <c r="D57" s="5">
        <v>18710</v>
      </c>
      <c r="E57" s="5">
        <v>0</v>
      </c>
      <c r="F57" s="5">
        <v>9630</v>
      </c>
      <c r="G57" s="5">
        <v>0</v>
      </c>
      <c r="H57" s="5"/>
      <c r="I57" s="5"/>
      <c r="J57" s="5"/>
      <c r="K57" s="5"/>
      <c r="L57" s="5"/>
      <c r="M57" s="5"/>
      <c r="N57" s="5"/>
      <c r="O57" s="11">
        <f t="shared" si="0"/>
        <v>44945</v>
      </c>
    </row>
    <row r="58" spans="1:15" x14ac:dyDescent="0.35">
      <c r="A58" s="2">
        <v>56</v>
      </c>
      <c r="B58" s="2" t="s">
        <v>44</v>
      </c>
      <c r="C58" s="5">
        <v>401500</v>
      </c>
      <c r="D58" s="5">
        <v>146000</v>
      </c>
      <c r="E58" s="5">
        <v>255500</v>
      </c>
      <c r="F58" s="5">
        <v>109500</v>
      </c>
      <c r="G58" s="5">
        <v>65700</v>
      </c>
      <c r="H58" s="5"/>
      <c r="I58" s="5"/>
      <c r="J58" s="5"/>
      <c r="K58" s="5"/>
      <c r="L58" s="5"/>
      <c r="M58" s="5"/>
      <c r="N58" s="5"/>
      <c r="O58" s="11">
        <f t="shared" si="0"/>
        <v>978200</v>
      </c>
    </row>
    <row r="59" spans="1:15" x14ac:dyDescent="0.35">
      <c r="A59" s="2">
        <v>57</v>
      </c>
      <c r="B59" s="2" t="s">
        <v>43</v>
      </c>
      <c r="C59" s="5">
        <v>17905</v>
      </c>
      <c r="D59" s="5">
        <v>17905</v>
      </c>
      <c r="E59" s="5">
        <v>17052</v>
      </c>
      <c r="F59" s="5">
        <v>49450</v>
      </c>
      <c r="G59" s="5">
        <v>25578</v>
      </c>
      <c r="H59" s="5"/>
      <c r="I59" s="5"/>
      <c r="J59" s="5"/>
      <c r="K59" s="5"/>
      <c r="L59" s="5"/>
      <c r="M59" s="5"/>
      <c r="N59" s="5"/>
      <c r="O59" s="11">
        <f t="shared" si="0"/>
        <v>127890</v>
      </c>
    </row>
    <row r="60" spans="1:15" x14ac:dyDescent="0.35">
      <c r="A60" s="2">
        <v>58</v>
      </c>
      <c r="B60" s="2" t="s">
        <v>45</v>
      </c>
      <c r="C60" s="5">
        <v>5116</v>
      </c>
      <c r="D60" s="5">
        <v>9164</v>
      </c>
      <c r="E60" s="5">
        <v>25364</v>
      </c>
      <c r="F60" s="5">
        <v>11542</v>
      </c>
      <c r="G60" s="5">
        <v>15613</v>
      </c>
      <c r="H60" s="5"/>
      <c r="I60" s="5"/>
      <c r="J60" s="5"/>
      <c r="K60" s="5"/>
      <c r="L60" s="5"/>
      <c r="M60" s="5"/>
      <c r="N60" s="5"/>
      <c r="O60" s="11">
        <f t="shared" si="0"/>
        <v>66799</v>
      </c>
    </row>
    <row r="61" spans="1:15" x14ac:dyDescent="0.35">
      <c r="A61" s="2">
        <v>59</v>
      </c>
      <c r="B61" s="2" t="s">
        <v>224</v>
      </c>
      <c r="C61" s="5">
        <v>0</v>
      </c>
      <c r="D61" s="5">
        <v>0</v>
      </c>
      <c r="E61" s="5">
        <v>3410</v>
      </c>
      <c r="F61" s="5">
        <v>4263</v>
      </c>
      <c r="G61" s="5">
        <v>5116</v>
      </c>
      <c r="H61" s="5"/>
      <c r="I61" s="5"/>
      <c r="J61" s="5"/>
      <c r="K61" s="5"/>
      <c r="L61" s="5"/>
      <c r="M61" s="5"/>
      <c r="N61" s="5"/>
      <c r="O61" s="11">
        <f t="shared" si="0"/>
        <v>12789</v>
      </c>
    </row>
    <row r="62" spans="1:15" x14ac:dyDescent="0.35">
      <c r="A62" s="2">
        <v>60</v>
      </c>
      <c r="B62" s="2" t="s">
        <v>46</v>
      </c>
      <c r="C62" s="5">
        <v>0</v>
      </c>
      <c r="D62" s="5">
        <v>0</v>
      </c>
      <c r="E62" s="5">
        <v>61325</v>
      </c>
      <c r="F62" s="5">
        <v>2680</v>
      </c>
      <c r="G62" s="5">
        <v>16957</v>
      </c>
      <c r="H62" s="5"/>
      <c r="I62" s="5"/>
      <c r="J62" s="5"/>
      <c r="K62" s="5"/>
      <c r="L62" s="5"/>
      <c r="M62" s="5"/>
      <c r="N62" s="5"/>
      <c r="O62" s="11">
        <f t="shared" si="0"/>
        <v>80962</v>
      </c>
    </row>
    <row r="63" spans="1:15" x14ac:dyDescent="0.35">
      <c r="A63" s="2">
        <v>61</v>
      </c>
      <c r="B63" s="2" t="s">
        <v>142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/>
      <c r="I63" s="5"/>
      <c r="J63" s="5"/>
      <c r="K63" s="5"/>
      <c r="L63" s="5"/>
      <c r="M63" s="5"/>
      <c r="N63" s="5"/>
      <c r="O63" s="11">
        <f t="shared" si="0"/>
        <v>0</v>
      </c>
    </row>
    <row r="64" spans="1:15" x14ac:dyDescent="0.35">
      <c r="A64" s="2">
        <v>62</v>
      </c>
      <c r="B64" s="2" t="s">
        <v>47</v>
      </c>
      <c r="C64" s="5">
        <v>0</v>
      </c>
      <c r="D64" s="5">
        <v>0</v>
      </c>
      <c r="E64" s="5">
        <v>5116</v>
      </c>
      <c r="F64" s="5">
        <v>7673</v>
      </c>
      <c r="G64" s="5">
        <v>12079</v>
      </c>
      <c r="H64" s="5"/>
      <c r="I64" s="5"/>
      <c r="J64" s="5"/>
      <c r="K64" s="5"/>
      <c r="L64" s="5"/>
      <c r="M64" s="5"/>
      <c r="N64" s="5"/>
      <c r="O64" s="11">
        <f t="shared" si="0"/>
        <v>24868</v>
      </c>
    </row>
    <row r="65" spans="1:15" x14ac:dyDescent="0.35">
      <c r="A65" s="2">
        <v>63</v>
      </c>
      <c r="B65" s="2" t="s">
        <v>48</v>
      </c>
      <c r="C65" s="5">
        <v>0</v>
      </c>
      <c r="D65" s="5">
        <v>15358</v>
      </c>
      <c r="E65" s="5">
        <v>19654</v>
      </c>
      <c r="F65" s="5">
        <v>9837</v>
      </c>
      <c r="G65" s="5">
        <v>0</v>
      </c>
      <c r="H65" s="5"/>
      <c r="I65" s="5"/>
      <c r="J65" s="5"/>
      <c r="K65" s="5"/>
      <c r="L65" s="5"/>
      <c r="M65" s="5"/>
      <c r="N65" s="5"/>
      <c r="O65" s="11">
        <f t="shared" si="0"/>
        <v>44849</v>
      </c>
    </row>
    <row r="66" spans="1:15" x14ac:dyDescent="0.35">
      <c r="A66" s="2">
        <v>64</v>
      </c>
      <c r="B66" s="2" t="s">
        <v>97</v>
      </c>
      <c r="C66" s="5">
        <v>0</v>
      </c>
      <c r="D66" s="5">
        <v>0</v>
      </c>
      <c r="E66" s="5">
        <v>0</v>
      </c>
      <c r="F66" s="5">
        <v>4454</v>
      </c>
      <c r="G66" s="5">
        <v>0</v>
      </c>
      <c r="H66" s="5"/>
      <c r="I66" s="5"/>
      <c r="J66" s="5"/>
      <c r="K66" s="5"/>
      <c r="L66" s="5"/>
      <c r="M66" s="5"/>
      <c r="N66" s="5"/>
      <c r="O66" s="11">
        <f t="shared" si="0"/>
        <v>4454</v>
      </c>
    </row>
    <row r="67" spans="1:15" x14ac:dyDescent="0.35">
      <c r="A67" s="2">
        <v>65</v>
      </c>
      <c r="B67" s="2" t="s">
        <v>20</v>
      </c>
      <c r="C67" s="5">
        <v>20386</v>
      </c>
      <c r="D67" s="5">
        <v>21658</v>
      </c>
      <c r="E67" s="5">
        <v>14428</v>
      </c>
      <c r="F67" s="5">
        <v>39365</v>
      </c>
      <c r="G67" s="5">
        <v>22548</v>
      </c>
      <c r="H67" s="5"/>
      <c r="I67" s="5"/>
      <c r="J67" s="5"/>
      <c r="K67" s="5"/>
      <c r="L67" s="5"/>
      <c r="M67" s="5"/>
      <c r="N67" s="5"/>
      <c r="O67" s="11">
        <f t="shared" si="0"/>
        <v>118385</v>
      </c>
    </row>
    <row r="68" spans="1:15" x14ac:dyDescent="0.35">
      <c r="A68" s="2">
        <v>66</v>
      </c>
      <c r="B68" s="2" t="s">
        <v>49</v>
      </c>
      <c r="C68" s="5">
        <v>64807</v>
      </c>
      <c r="D68" s="5">
        <v>54687</v>
      </c>
      <c r="E68" s="5">
        <v>55343</v>
      </c>
      <c r="F68" s="5">
        <v>61022</v>
      </c>
      <c r="G68" s="5">
        <v>71198</v>
      </c>
      <c r="H68" s="5"/>
      <c r="I68" s="5"/>
      <c r="J68" s="5"/>
      <c r="K68" s="5"/>
      <c r="L68" s="5"/>
      <c r="M68" s="5"/>
      <c r="N68" s="5"/>
      <c r="O68" s="11">
        <f t="shared" si="0"/>
        <v>307057</v>
      </c>
    </row>
    <row r="69" spans="1:15" x14ac:dyDescent="0.35">
      <c r="A69" s="2">
        <v>67</v>
      </c>
      <c r="B69" s="2" t="s">
        <v>50</v>
      </c>
      <c r="C69" s="5">
        <v>0</v>
      </c>
      <c r="D69" s="5">
        <v>0</v>
      </c>
      <c r="E69" s="5">
        <v>5549</v>
      </c>
      <c r="F69" s="5">
        <v>8069</v>
      </c>
      <c r="G69" s="5">
        <v>14312</v>
      </c>
      <c r="H69" s="5"/>
      <c r="I69" s="5"/>
      <c r="J69" s="5"/>
      <c r="K69" s="5"/>
      <c r="L69" s="5"/>
      <c r="M69" s="5"/>
      <c r="N69" s="5"/>
      <c r="O69" s="11">
        <f t="shared" si="0"/>
        <v>27930</v>
      </c>
    </row>
    <row r="70" spans="1:15" x14ac:dyDescent="0.35">
      <c r="A70" s="2">
        <v>68</v>
      </c>
      <c r="B70" s="2" t="s">
        <v>51</v>
      </c>
      <c r="C70" s="5">
        <v>48613</v>
      </c>
      <c r="D70" s="5">
        <v>20609</v>
      </c>
      <c r="E70" s="5">
        <v>63445</v>
      </c>
      <c r="F70" s="5">
        <v>87520</v>
      </c>
      <c r="G70" s="5">
        <v>14993</v>
      </c>
      <c r="H70" s="5"/>
      <c r="I70" s="5"/>
      <c r="J70" s="5"/>
      <c r="K70" s="5"/>
      <c r="L70" s="5"/>
      <c r="M70" s="5"/>
      <c r="N70" s="5"/>
      <c r="O70" s="11">
        <f t="shared" si="0"/>
        <v>235180</v>
      </c>
    </row>
    <row r="71" spans="1:15" x14ac:dyDescent="0.35">
      <c r="A71" s="2">
        <v>69</v>
      </c>
      <c r="B71" s="2" t="s">
        <v>53</v>
      </c>
      <c r="C71" s="5">
        <v>2925</v>
      </c>
      <c r="D71" s="5">
        <v>9110</v>
      </c>
      <c r="E71" s="5">
        <v>2900</v>
      </c>
      <c r="F71" s="5">
        <v>3777</v>
      </c>
      <c r="G71" s="5">
        <v>2925</v>
      </c>
      <c r="H71" s="5"/>
      <c r="I71" s="5"/>
      <c r="J71" s="5"/>
      <c r="K71" s="5"/>
      <c r="L71" s="5"/>
      <c r="M71" s="5"/>
      <c r="N71" s="5"/>
      <c r="O71" s="11">
        <f t="shared" si="0"/>
        <v>21637</v>
      </c>
    </row>
    <row r="72" spans="1:15" x14ac:dyDescent="0.35">
      <c r="A72" s="2">
        <v>70</v>
      </c>
      <c r="B72" s="2" t="s">
        <v>54</v>
      </c>
      <c r="C72" s="5">
        <v>20184</v>
      </c>
      <c r="D72" s="5">
        <v>5498</v>
      </c>
      <c r="E72" s="5">
        <v>17348</v>
      </c>
      <c r="F72" s="5">
        <v>8909</v>
      </c>
      <c r="G72" s="5">
        <v>0</v>
      </c>
      <c r="H72" s="5"/>
      <c r="I72" s="5"/>
      <c r="J72" s="5"/>
      <c r="K72" s="5"/>
      <c r="L72" s="5"/>
      <c r="M72" s="5"/>
      <c r="N72" s="5"/>
      <c r="O72" s="11">
        <f t="shared" si="0"/>
        <v>51939</v>
      </c>
    </row>
    <row r="73" spans="1:15" x14ac:dyDescent="0.35">
      <c r="A73" s="2">
        <v>71</v>
      </c>
      <c r="B73" s="2" t="s">
        <v>55</v>
      </c>
      <c r="C73" s="5">
        <v>2558</v>
      </c>
      <c r="D73" s="5">
        <v>2558</v>
      </c>
      <c r="E73" s="5">
        <v>2558</v>
      </c>
      <c r="F73" s="5">
        <v>0</v>
      </c>
      <c r="G73" s="5">
        <v>6138</v>
      </c>
      <c r="H73" s="5"/>
      <c r="I73" s="5"/>
      <c r="J73" s="5"/>
      <c r="K73" s="5"/>
      <c r="L73" s="5"/>
      <c r="M73" s="5"/>
      <c r="N73" s="5"/>
      <c r="O73" s="11">
        <f t="shared" si="0"/>
        <v>13812</v>
      </c>
    </row>
    <row r="74" spans="1:15" x14ac:dyDescent="0.35">
      <c r="A74" s="2">
        <v>72</v>
      </c>
      <c r="B74" s="2" t="s">
        <v>56</v>
      </c>
      <c r="C74" s="5">
        <v>53100</v>
      </c>
      <c r="D74" s="5">
        <v>0</v>
      </c>
      <c r="E74" s="5">
        <v>6500</v>
      </c>
      <c r="F74" s="5">
        <v>51041</v>
      </c>
      <c r="G74" s="5">
        <v>76047</v>
      </c>
      <c r="H74" s="5"/>
      <c r="I74" s="5"/>
      <c r="J74" s="5"/>
      <c r="K74" s="5"/>
      <c r="L74" s="5"/>
      <c r="M74" s="5"/>
      <c r="N74" s="5"/>
      <c r="O74" s="11">
        <f t="shared" ref="O74:O136" si="1">SUM(C74:N74)</f>
        <v>186688</v>
      </c>
    </row>
    <row r="75" spans="1:15" x14ac:dyDescent="0.35">
      <c r="A75" s="2">
        <v>73</v>
      </c>
      <c r="B75" s="2" t="s">
        <v>57</v>
      </c>
      <c r="C75" s="5">
        <v>39560</v>
      </c>
      <c r="D75" s="5">
        <v>22622</v>
      </c>
      <c r="E75" s="5">
        <v>17243</v>
      </c>
      <c r="F75" s="5">
        <v>21522</v>
      </c>
      <c r="G75" s="5">
        <v>9401</v>
      </c>
      <c r="H75" s="5"/>
      <c r="I75" s="5"/>
      <c r="J75" s="5"/>
      <c r="K75" s="5"/>
      <c r="L75" s="5"/>
      <c r="M75" s="5"/>
      <c r="N75" s="5"/>
      <c r="O75" s="11">
        <f t="shared" si="1"/>
        <v>110348</v>
      </c>
    </row>
    <row r="76" spans="1:15" x14ac:dyDescent="0.35">
      <c r="A76" s="2">
        <v>74</v>
      </c>
      <c r="B76" s="2" t="s">
        <v>277</v>
      </c>
      <c r="C76" s="5">
        <v>40110</v>
      </c>
      <c r="D76" s="5">
        <v>0</v>
      </c>
      <c r="E76" s="5">
        <v>51267</v>
      </c>
      <c r="F76" s="5">
        <v>0</v>
      </c>
      <c r="G76" s="5">
        <v>35555</v>
      </c>
      <c r="H76" s="5"/>
      <c r="I76" s="5"/>
      <c r="J76" s="5"/>
      <c r="K76" s="5"/>
      <c r="L76" s="5"/>
      <c r="M76" s="5"/>
      <c r="N76" s="5"/>
      <c r="O76" s="11">
        <f t="shared" si="1"/>
        <v>126932</v>
      </c>
    </row>
    <row r="77" spans="1:15" x14ac:dyDescent="0.35">
      <c r="A77" s="2">
        <v>75</v>
      </c>
      <c r="B77" s="2" t="s">
        <v>59</v>
      </c>
      <c r="C77" s="5">
        <v>37132</v>
      </c>
      <c r="D77" s="5">
        <v>29166</v>
      </c>
      <c r="E77" s="5">
        <v>8832</v>
      </c>
      <c r="F77" s="5">
        <v>6498</v>
      </c>
      <c r="G77" s="5">
        <v>17832</v>
      </c>
      <c r="H77" s="5"/>
      <c r="I77" s="5"/>
      <c r="J77" s="5"/>
      <c r="K77" s="5"/>
      <c r="L77" s="5"/>
      <c r="M77" s="5"/>
      <c r="N77" s="5"/>
      <c r="O77" s="11">
        <f t="shared" si="1"/>
        <v>99460</v>
      </c>
    </row>
    <row r="78" spans="1:15" x14ac:dyDescent="0.35">
      <c r="A78" s="2">
        <v>76</v>
      </c>
      <c r="B78" s="2" t="s">
        <v>58</v>
      </c>
      <c r="C78" s="5">
        <v>110910</v>
      </c>
      <c r="D78" s="5">
        <v>105430</v>
      </c>
      <c r="E78" s="5">
        <v>67510</v>
      </c>
      <c r="F78" s="5">
        <v>62274</v>
      </c>
      <c r="G78" s="5">
        <v>79853</v>
      </c>
      <c r="H78" s="5"/>
      <c r="I78" s="5"/>
      <c r="J78" s="5"/>
      <c r="K78" s="5"/>
      <c r="L78" s="5"/>
      <c r="M78" s="5"/>
      <c r="N78" s="5"/>
      <c r="O78" s="11">
        <f t="shared" si="1"/>
        <v>425977</v>
      </c>
    </row>
    <row r="79" spans="1:15" x14ac:dyDescent="0.35">
      <c r="A79" s="2">
        <v>77</v>
      </c>
      <c r="B79" s="2" t="s">
        <v>278</v>
      </c>
      <c r="C79" s="5">
        <v>8784</v>
      </c>
      <c r="D79" s="5">
        <v>5184</v>
      </c>
      <c r="E79" s="5">
        <v>0</v>
      </c>
      <c r="F79" s="5">
        <v>8159</v>
      </c>
      <c r="G79" s="5">
        <v>0</v>
      </c>
      <c r="H79" s="5"/>
      <c r="I79" s="5"/>
      <c r="J79" s="5"/>
      <c r="K79" s="5"/>
      <c r="L79" s="5"/>
      <c r="M79" s="5"/>
      <c r="N79" s="5"/>
      <c r="O79" s="11">
        <f t="shared" si="1"/>
        <v>22127</v>
      </c>
    </row>
    <row r="80" spans="1:15" x14ac:dyDescent="0.35">
      <c r="A80" s="2">
        <v>78</v>
      </c>
      <c r="B80" s="2" t="s">
        <v>228</v>
      </c>
      <c r="C80" s="5">
        <v>1983</v>
      </c>
      <c r="D80" s="5">
        <v>0</v>
      </c>
      <c r="E80" s="5">
        <v>0</v>
      </c>
      <c r="F80" s="5">
        <v>992</v>
      </c>
      <c r="G80" s="5">
        <v>0</v>
      </c>
      <c r="H80" s="5"/>
      <c r="I80" s="5"/>
      <c r="J80" s="5"/>
      <c r="K80" s="5"/>
      <c r="L80" s="5"/>
      <c r="M80" s="5"/>
      <c r="N80" s="5"/>
      <c r="O80" s="11">
        <f t="shared" si="1"/>
        <v>2975</v>
      </c>
    </row>
    <row r="81" spans="1:15" x14ac:dyDescent="0.35">
      <c r="A81" s="2">
        <v>79</v>
      </c>
      <c r="B81" s="2" t="s">
        <v>60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/>
      <c r="I81" s="5"/>
      <c r="J81" s="5"/>
      <c r="K81" s="5"/>
      <c r="L81" s="5"/>
      <c r="M81" s="5"/>
      <c r="N81" s="5"/>
      <c r="O81" s="11">
        <f t="shared" si="1"/>
        <v>0</v>
      </c>
    </row>
    <row r="82" spans="1:15" x14ac:dyDescent="0.35">
      <c r="A82" s="2">
        <v>80</v>
      </c>
      <c r="B82" s="2" t="s">
        <v>150</v>
      </c>
      <c r="C82" s="5">
        <v>16549</v>
      </c>
      <c r="D82" s="5">
        <v>0</v>
      </c>
      <c r="E82" s="5">
        <v>33457</v>
      </c>
      <c r="F82" s="5">
        <v>17324</v>
      </c>
      <c r="G82" s="5">
        <v>26316</v>
      </c>
      <c r="H82" s="5"/>
      <c r="I82" s="5"/>
      <c r="J82" s="5"/>
      <c r="K82" s="5"/>
      <c r="L82" s="5"/>
      <c r="M82" s="5"/>
      <c r="N82" s="5"/>
      <c r="O82" s="11">
        <f t="shared" si="1"/>
        <v>93646</v>
      </c>
    </row>
    <row r="83" spans="1:15" x14ac:dyDescent="0.35">
      <c r="A83" s="2">
        <v>81</v>
      </c>
      <c r="B83" s="2" t="s">
        <v>90</v>
      </c>
      <c r="C83" s="5">
        <v>0</v>
      </c>
      <c r="D83" s="5">
        <v>0</v>
      </c>
      <c r="E83" s="5">
        <v>0</v>
      </c>
      <c r="F83" s="5">
        <v>37120</v>
      </c>
      <c r="G83" s="5">
        <v>60758</v>
      </c>
      <c r="H83" s="5"/>
      <c r="I83" s="5"/>
      <c r="J83" s="5"/>
      <c r="K83" s="5"/>
      <c r="L83" s="5"/>
      <c r="M83" s="5"/>
      <c r="N83" s="5"/>
      <c r="O83" s="11">
        <f t="shared" si="1"/>
        <v>97878</v>
      </c>
    </row>
    <row r="84" spans="1:15" x14ac:dyDescent="0.35">
      <c r="A84" s="2">
        <v>82</v>
      </c>
      <c r="B84" s="2" t="s">
        <v>265</v>
      </c>
      <c r="C84" s="5">
        <v>0</v>
      </c>
      <c r="D84" s="5">
        <v>0</v>
      </c>
      <c r="E84" s="5">
        <v>0</v>
      </c>
      <c r="F84" s="5">
        <v>0</v>
      </c>
      <c r="G84" s="5">
        <v>11930</v>
      </c>
      <c r="H84" s="5"/>
      <c r="I84" s="5"/>
      <c r="J84" s="5"/>
      <c r="K84" s="5"/>
      <c r="L84" s="5"/>
      <c r="M84" s="5"/>
      <c r="N84" s="5"/>
      <c r="O84" s="11">
        <f t="shared" si="1"/>
        <v>11930</v>
      </c>
    </row>
    <row r="85" spans="1:15" x14ac:dyDescent="0.35">
      <c r="A85" s="2">
        <v>83</v>
      </c>
      <c r="B85" s="2" t="s">
        <v>264</v>
      </c>
      <c r="C85" s="5">
        <v>0</v>
      </c>
      <c r="D85" s="5">
        <v>0</v>
      </c>
      <c r="E85" s="5">
        <v>0</v>
      </c>
      <c r="F85" s="5">
        <v>0</v>
      </c>
      <c r="G85" s="5">
        <v>3550</v>
      </c>
      <c r="H85" s="5"/>
      <c r="I85" s="5"/>
      <c r="J85" s="5"/>
      <c r="K85" s="5"/>
      <c r="L85" s="5"/>
      <c r="M85" s="5"/>
      <c r="N85" s="5"/>
      <c r="O85" s="11">
        <f t="shared" si="1"/>
        <v>3550</v>
      </c>
    </row>
    <row r="86" spans="1:15" x14ac:dyDescent="0.35">
      <c r="A86" s="2">
        <v>84</v>
      </c>
      <c r="B86" s="2" t="s">
        <v>345</v>
      </c>
      <c r="C86" s="5">
        <v>0</v>
      </c>
      <c r="D86" s="5">
        <v>0</v>
      </c>
      <c r="E86" s="5">
        <v>0</v>
      </c>
      <c r="F86" s="5">
        <v>0</v>
      </c>
      <c r="G86" s="5">
        <v>5360</v>
      </c>
      <c r="H86" s="5"/>
      <c r="I86" s="5"/>
      <c r="J86" s="5"/>
      <c r="K86" s="5"/>
      <c r="L86" s="5"/>
      <c r="M86" s="5"/>
      <c r="N86" s="5"/>
      <c r="O86" s="11">
        <f t="shared" si="1"/>
        <v>5360</v>
      </c>
    </row>
    <row r="87" spans="1:15" x14ac:dyDescent="0.35">
      <c r="A87" s="2">
        <v>85</v>
      </c>
      <c r="B87" s="2" t="s">
        <v>61</v>
      </c>
      <c r="C87" s="5">
        <v>0</v>
      </c>
      <c r="D87" s="5">
        <v>0</v>
      </c>
      <c r="E87" s="5">
        <v>2580</v>
      </c>
      <c r="F87" s="5">
        <v>0</v>
      </c>
      <c r="G87" s="5">
        <v>0</v>
      </c>
      <c r="H87" s="5"/>
      <c r="I87" s="5"/>
      <c r="J87" s="5"/>
      <c r="K87" s="5"/>
      <c r="L87" s="5"/>
      <c r="M87" s="5"/>
      <c r="N87" s="5"/>
      <c r="O87" s="11">
        <f t="shared" si="1"/>
        <v>2580</v>
      </c>
    </row>
    <row r="88" spans="1:15" x14ac:dyDescent="0.35">
      <c r="A88" s="2">
        <v>86</v>
      </c>
      <c r="B88" s="2" t="s">
        <v>263</v>
      </c>
      <c r="C88" s="5">
        <v>0</v>
      </c>
      <c r="D88" s="5">
        <v>0</v>
      </c>
      <c r="E88" s="5">
        <v>0</v>
      </c>
      <c r="F88" s="5">
        <v>0</v>
      </c>
      <c r="G88" s="5">
        <v>6821</v>
      </c>
      <c r="H88" s="5"/>
      <c r="I88" s="5"/>
      <c r="J88" s="5"/>
      <c r="K88" s="5"/>
      <c r="L88" s="5"/>
      <c r="M88" s="5"/>
      <c r="N88" s="5"/>
      <c r="O88" s="11">
        <f t="shared" si="1"/>
        <v>6821</v>
      </c>
    </row>
    <row r="89" spans="1:15" x14ac:dyDescent="0.35">
      <c r="A89" s="2">
        <v>87</v>
      </c>
      <c r="B89" s="2" t="s">
        <v>279</v>
      </c>
      <c r="C89" s="5">
        <v>128761</v>
      </c>
      <c r="D89" s="5">
        <v>108388</v>
      </c>
      <c r="E89" s="5">
        <v>167647</v>
      </c>
      <c r="F89" s="5">
        <v>150163</v>
      </c>
      <c r="G89" s="5">
        <v>154228</v>
      </c>
      <c r="H89" s="5"/>
      <c r="I89" s="5"/>
      <c r="J89" s="5"/>
      <c r="K89" s="5"/>
      <c r="L89" s="5"/>
      <c r="M89" s="5"/>
      <c r="N89" s="5"/>
      <c r="O89" s="11">
        <f t="shared" si="1"/>
        <v>709187</v>
      </c>
    </row>
    <row r="90" spans="1:15" x14ac:dyDescent="0.35">
      <c r="A90" s="2">
        <v>88</v>
      </c>
      <c r="B90" s="2" t="s">
        <v>62</v>
      </c>
      <c r="C90" s="5">
        <v>5950</v>
      </c>
      <c r="D90" s="5">
        <v>0</v>
      </c>
      <c r="E90" s="5">
        <v>5454</v>
      </c>
      <c r="F90" s="5">
        <v>0</v>
      </c>
      <c r="G90" s="5">
        <v>5950</v>
      </c>
      <c r="H90" s="5"/>
      <c r="I90" s="5"/>
      <c r="J90" s="5"/>
      <c r="K90" s="5"/>
      <c r="L90" s="5"/>
      <c r="M90" s="5"/>
      <c r="N90" s="5"/>
      <c r="O90" s="11">
        <f t="shared" si="1"/>
        <v>17354</v>
      </c>
    </row>
    <row r="91" spans="1:15" x14ac:dyDescent="0.35">
      <c r="A91" s="2">
        <v>89</v>
      </c>
      <c r="B91" s="2" t="s">
        <v>156</v>
      </c>
      <c r="C91" s="5">
        <v>165064</v>
      </c>
      <c r="D91" s="5">
        <v>143215</v>
      </c>
      <c r="E91" s="5">
        <v>143924</v>
      </c>
      <c r="F91" s="5">
        <v>174542</v>
      </c>
      <c r="G91" s="5">
        <v>193606</v>
      </c>
      <c r="H91" s="5"/>
      <c r="I91" s="5"/>
      <c r="J91" s="5"/>
      <c r="K91" s="5"/>
      <c r="L91" s="5"/>
      <c r="M91" s="5"/>
      <c r="N91" s="5"/>
      <c r="O91" s="11">
        <f t="shared" si="1"/>
        <v>820351</v>
      </c>
    </row>
    <row r="92" spans="1:15" x14ac:dyDescent="0.35">
      <c r="A92" s="2">
        <v>90</v>
      </c>
      <c r="B92" s="2" t="s">
        <v>157</v>
      </c>
      <c r="C92" s="5">
        <v>8526</v>
      </c>
      <c r="D92" s="5">
        <v>8526</v>
      </c>
      <c r="E92" s="5">
        <v>5968</v>
      </c>
      <c r="F92" s="5">
        <v>13642</v>
      </c>
      <c r="G92" s="5">
        <v>8526</v>
      </c>
      <c r="H92" s="5"/>
      <c r="I92" s="5"/>
      <c r="J92" s="5"/>
      <c r="K92" s="5"/>
      <c r="L92" s="5"/>
      <c r="M92" s="5"/>
      <c r="N92" s="5"/>
      <c r="O92" s="11">
        <f t="shared" si="1"/>
        <v>45188</v>
      </c>
    </row>
    <row r="93" spans="1:15" x14ac:dyDescent="0.35">
      <c r="A93" s="2">
        <v>91</v>
      </c>
      <c r="B93" s="2" t="s">
        <v>158</v>
      </c>
      <c r="C93" s="5">
        <v>4263</v>
      </c>
      <c r="D93" s="5">
        <v>5116</v>
      </c>
      <c r="E93" s="5">
        <v>67172</v>
      </c>
      <c r="F93" s="5">
        <v>30044</v>
      </c>
      <c r="G93" s="5">
        <v>34778</v>
      </c>
      <c r="H93" s="5"/>
      <c r="I93" s="5"/>
      <c r="J93" s="5"/>
      <c r="K93" s="5"/>
      <c r="L93" s="5"/>
      <c r="M93" s="5"/>
      <c r="N93" s="5"/>
      <c r="O93" s="11">
        <f t="shared" si="1"/>
        <v>141373</v>
      </c>
    </row>
    <row r="94" spans="1:15" x14ac:dyDescent="0.35">
      <c r="A94" s="2">
        <v>92</v>
      </c>
      <c r="B94" s="2" t="s">
        <v>159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/>
      <c r="I94" s="5"/>
      <c r="J94" s="5"/>
      <c r="K94" s="5"/>
      <c r="L94" s="5"/>
      <c r="M94" s="5"/>
      <c r="N94" s="5"/>
      <c r="O94" s="11">
        <f t="shared" si="1"/>
        <v>0</v>
      </c>
    </row>
    <row r="95" spans="1:15" x14ac:dyDescent="0.35">
      <c r="A95" s="2">
        <v>93</v>
      </c>
      <c r="B95" s="2" t="s">
        <v>63</v>
      </c>
      <c r="C95" s="5">
        <v>8575</v>
      </c>
      <c r="D95" s="5">
        <v>9800</v>
      </c>
      <c r="E95" s="5">
        <v>0</v>
      </c>
      <c r="F95" s="5">
        <v>0</v>
      </c>
      <c r="G95" s="5">
        <v>6125</v>
      </c>
      <c r="H95" s="5"/>
      <c r="I95" s="5"/>
      <c r="J95" s="5"/>
      <c r="K95" s="5"/>
      <c r="L95" s="5"/>
      <c r="M95" s="5"/>
      <c r="N95" s="5"/>
      <c r="O95" s="11">
        <f t="shared" si="1"/>
        <v>24500</v>
      </c>
    </row>
    <row r="96" spans="1:15" x14ac:dyDescent="0.35">
      <c r="A96" s="2">
        <v>94</v>
      </c>
      <c r="B96" s="2" t="s">
        <v>64</v>
      </c>
      <c r="C96" s="5">
        <v>1730</v>
      </c>
      <c r="D96" s="5">
        <v>0</v>
      </c>
      <c r="E96" s="5">
        <v>0</v>
      </c>
      <c r="F96" s="5">
        <v>0</v>
      </c>
      <c r="G96" s="5">
        <v>5910</v>
      </c>
      <c r="H96" s="5"/>
      <c r="I96" s="5"/>
      <c r="J96" s="5"/>
      <c r="K96" s="5"/>
      <c r="L96" s="5"/>
      <c r="M96" s="5"/>
      <c r="N96" s="5"/>
      <c r="O96" s="11">
        <f t="shared" si="1"/>
        <v>7640</v>
      </c>
    </row>
    <row r="97" spans="1:15" x14ac:dyDescent="0.35">
      <c r="A97" s="2">
        <v>95</v>
      </c>
      <c r="B97" s="2" t="s">
        <v>341</v>
      </c>
      <c r="C97" s="5">
        <v>0</v>
      </c>
      <c r="D97" s="5">
        <v>0</v>
      </c>
      <c r="E97" s="5">
        <v>0</v>
      </c>
      <c r="F97" s="5">
        <v>0</v>
      </c>
      <c r="G97" s="5">
        <v>8675</v>
      </c>
      <c r="H97" s="5"/>
      <c r="I97" s="5"/>
      <c r="J97" s="5"/>
      <c r="K97" s="5"/>
      <c r="L97" s="5"/>
      <c r="M97" s="5"/>
      <c r="N97" s="5"/>
      <c r="O97" s="11">
        <f t="shared" si="1"/>
        <v>8675</v>
      </c>
    </row>
    <row r="98" spans="1:15" x14ac:dyDescent="0.35">
      <c r="A98" s="2">
        <v>96</v>
      </c>
      <c r="B98" s="2" t="s">
        <v>65</v>
      </c>
      <c r="C98" s="5">
        <v>0</v>
      </c>
      <c r="D98" s="5">
        <v>0</v>
      </c>
      <c r="E98" s="5">
        <v>5104</v>
      </c>
      <c r="F98" s="5">
        <v>0</v>
      </c>
      <c r="G98" s="5">
        <v>0</v>
      </c>
      <c r="H98" s="5"/>
      <c r="I98" s="5"/>
      <c r="J98" s="5"/>
      <c r="K98" s="5"/>
      <c r="L98" s="5"/>
      <c r="M98" s="5"/>
      <c r="N98" s="5"/>
      <c r="O98" s="11">
        <f t="shared" si="1"/>
        <v>5104</v>
      </c>
    </row>
    <row r="99" spans="1:15" x14ac:dyDescent="0.35">
      <c r="A99" s="2">
        <v>97</v>
      </c>
      <c r="B99" s="2" t="s">
        <v>236</v>
      </c>
      <c r="C99" s="5">
        <v>106920</v>
      </c>
      <c r="D99" s="5">
        <v>78500</v>
      </c>
      <c r="E99" s="5">
        <v>96070</v>
      </c>
      <c r="F99" s="5">
        <v>87030</v>
      </c>
      <c r="G99" s="5">
        <v>104600</v>
      </c>
      <c r="H99" s="5"/>
      <c r="I99" s="5"/>
      <c r="J99" s="5"/>
      <c r="K99" s="5"/>
      <c r="L99" s="5"/>
      <c r="M99" s="5"/>
      <c r="N99" s="5"/>
      <c r="O99" s="11">
        <f t="shared" si="1"/>
        <v>473120</v>
      </c>
    </row>
    <row r="100" spans="1:15" x14ac:dyDescent="0.35">
      <c r="A100" s="2">
        <v>98</v>
      </c>
      <c r="B100" s="2" t="s">
        <v>66</v>
      </c>
      <c r="C100" s="5">
        <v>0</v>
      </c>
      <c r="D100" s="5">
        <v>13400</v>
      </c>
      <c r="E100" s="5">
        <v>13400</v>
      </c>
      <c r="F100" s="5">
        <v>30150</v>
      </c>
      <c r="G100" s="5">
        <v>13400</v>
      </c>
      <c r="H100" s="5"/>
      <c r="I100" s="5"/>
      <c r="J100" s="5"/>
      <c r="K100" s="5"/>
      <c r="L100" s="5"/>
      <c r="M100" s="5"/>
      <c r="N100" s="5"/>
      <c r="O100" s="11">
        <f t="shared" si="1"/>
        <v>70350</v>
      </c>
    </row>
    <row r="101" spans="1:15" x14ac:dyDescent="0.35">
      <c r="A101" s="2">
        <v>99</v>
      </c>
      <c r="B101" s="2" t="s">
        <v>67</v>
      </c>
      <c r="C101" s="5">
        <v>2698</v>
      </c>
      <c r="D101" s="5">
        <v>0</v>
      </c>
      <c r="E101" s="5">
        <v>0</v>
      </c>
      <c r="F101" s="5">
        <v>1680</v>
      </c>
      <c r="G101" s="5">
        <v>2698</v>
      </c>
      <c r="H101" s="5"/>
      <c r="I101" s="5"/>
      <c r="J101" s="5"/>
      <c r="K101" s="5"/>
      <c r="L101" s="5"/>
      <c r="M101" s="5"/>
      <c r="N101" s="5"/>
      <c r="O101" s="11">
        <f t="shared" si="1"/>
        <v>7076</v>
      </c>
    </row>
    <row r="102" spans="1:15" x14ac:dyDescent="0.35">
      <c r="A102" s="2">
        <v>100</v>
      </c>
      <c r="B102" s="2" t="s">
        <v>240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/>
      <c r="I102" s="5"/>
      <c r="J102" s="5"/>
      <c r="K102" s="5"/>
      <c r="L102" s="5"/>
      <c r="M102" s="5"/>
      <c r="N102" s="5"/>
      <c r="O102" s="11">
        <f t="shared" si="1"/>
        <v>0</v>
      </c>
    </row>
    <row r="103" spans="1:15" x14ac:dyDescent="0.35">
      <c r="A103" s="2">
        <v>101</v>
      </c>
      <c r="B103" s="2" t="s">
        <v>241</v>
      </c>
      <c r="C103" s="5">
        <v>24000</v>
      </c>
      <c r="D103" s="5">
        <v>0</v>
      </c>
      <c r="E103" s="5">
        <v>13200</v>
      </c>
      <c r="F103" s="5">
        <v>0</v>
      </c>
      <c r="G103" s="5">
        <v>0</v>
      </c>
      <c r="H103" s="5"/>
      <c r="I103" s="5"/>
      <c r="J103" s="5"/>
      <c r="K103" s="5"/>
      <c r="L103" s="5"/>
      <c r="M103" s="5"/>
      <c r="N103" s="5"/>
      <c r="O103" s="11">
        <f t="shared" si="1"/>
        <v>37200</v>
      </c>
    </row>
    <row r="104" spans="1:15" x14ac:dyDescent="0.35">
      <c r="A104" s="2">
        <v>102</v>
      </c>
      <c r="B104" s="2" t="s">
        <v>68</v>
      </c>
      <c r="C104" s="5">
        <v>0</v>
      </c>
      <c r="D104" s="5">
        <v>3410</v>
      </c>
      <c r="E104" s="5">
        <v>2558</v>
      </c>
      <c r="F104" s="5">
        <v>27027</v>
      </c>
      <c r="G104" s="5">
        <v>0</v>
      </c>
      <c r="H104" s="5"/>
      <c r="I104" s="5"/>
      <c r="J104" s="5"/>
      <c r="K104" s="5"/>
      <c r="L104" s="5"/>
      <c r="M104" s="5"/>
      <c r="N104" s="5"/>
      <c r="O104" s="11">
        <f t="shared" si="1"/>
        <v>32995</v>
      </c>
    </row>
    <row r="105" spans="1:15" x14ac:dyDescent="0.35">
      <c r="A105" s="2">
        <v>103</v>
      </c>
      <c r="B105" s="2" t="s">
        <v>93</v>
      </c>
      <c r="C105" s="5">
        <v>0</v>
      </c>
      <c r="D105" s="5">
        <v>0</v>
      </c>
      <c r="E105" s="5">
        <v>0</v>
      </c>
      <c r="F105" s="5">
        <v>18256</v>
      </c>
      <c r="G105" s="5">
        <v>0</v>
      </c>
      <c r="H105" s="5"/>
      <c r="I105" s="5"/>
      <c r="J105" s="5"/>
      <c r="K105" s="5"/>
      <c r="L105" s="5"/>
      <c r="M105" s="5"/>
      <c r="N105" s="5"/>
      <c r="O105" s="11">
        <f t="shared" si="1"/>
        <v>18256</v>
      </c>
    </row>
    <row r="106" spans="1:15" x14ac:dyDescent="0.35">
      <c r="A106" s="2">
        <v>104</v>
      </c>
      <c r="B106" s="2" t="s">
        <v>69</v>
      </c>
      <c r="C106" s="5">
        <v>36740</v>
      </c>
      <c r="D106" s="5">
        <v>0</v>
      </c>
      <c r="E106" s="5">
        <v>0</v>
      </c>
      <c r="F106" s="5">
        <v>0</v>
      </c>
      <c r="G106" s="5">
        <v>0</v>
      </c>
      <c r="H106" s="5"/>
      <c r="I106" s="5"/>
      <c r="J106" s="5"/>
      <c r="K106" s="5"/>
      <c r="L106" s="5"/>
      <c r="M106" s="5"/>
      <c r="N106" s="5"/>
      <c r="O106" s="11">
        <f t="shared" si="1"/>
        <v>36740</v>
      </c>
    </row>
    <row r="107" spans="1:15" x14ac:dyDescent="0.35">
      <c r="A107" s="2">
        <v>105</v>
      </c>
      <c r="B107" s="2" t="s">
        <v>186</v>
      </c>
      <c r="C107" s="5">
        <v>0</v>
      </c>
      <c r="D107" s="5">
        <v>0</v>
      </c>
      <c r="E107" s="5">
        <v>0</v>
      </c>
      <c r="F107" s="5">
        <v>12140</v>
      </c>
      <c r="G107" s="5">
        <v>15340</v>
      </c>
      <c r="H107" s="5"/>
      <c r="I107" s="5"/>
      <c r="J107" s="5"/>
      <c r="K107" s="5"/>
      <c r="L107" s="5"/>
      <c r="M107" s="5"/>
      <c r="N107" s="5"/>
      <c r="O107" s="11">
        <f t="shared" si="1"/>
        <v>27480</v>
      </c>
    </row>
    <row r="108" spans="1:15" x14ac:dyDescent="0.35">
      <c r="A108" s="2">
        <v>106</v>
      </c>
      <c r="B108" s="2" t="s">
        <v>70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/>
      <c r="I108" s="5"/>
      <c r="J108" s="5"/>
      <c r="K108" s="5"/>
      <c r="L108" s="5"/>
      <c r="M108" s="5"/>
      <c r="N108" s="5"/>
      <c r="O108" s="11">
        <f t="shared" si="1"/>
        <v>0</v>
      </c>
    </row>
    <row r="109" spans="1:15" x14ac:dyDescent="0.35">
      <c r="A109" s="2">
        <v>107</v>
      </c>
      <c r="B109" s="2" t="s">
        <v>244</v>
      </c>
      <c r="C109" s="5">
        <v>119856</v>
      </c>
      <c r="D109" s="5">
        <v>57304</v>
      </c>
      <c r="E109" s="5">
        <v>140090</v>
      </c>
      <c r="F109" s="5">
        <v>150368</v>
      </c>
      <c r="G109" s="5">
        <v>89064</v>
      </c>
      <c r="H109" s="5"/>
      <c r="I109" s="5"/>
      <c r="J109" s="5"/>
      <c r="K109" s="5"/>
      <c r="L109" s="5"/>
      <c r="M109" s="5"/>
      <c r="N109" s="5"/>
      <c r="O109" s="11">
        <f t="shared" si="1"/>
        <v>556682</v>
      </c>
    </row>
    <row r="110" spans="1:15" x14ac:dyDescent="0.35">
      <c r="A110" s="2">
        <v>108</v>
      </c>
      <c r="B110" s="2" t="s">
        <v>71</v>
      </c>
      <c r="C110" s="5">
        <v>15059</v>
      </c>
      <c r="D110" s="5">
        <v>10920</v>
      </c>
      <c r="E110" s="5">
        <v>13440</v>
      </c>
      <c r="F110" s="5">
        <v>19832</v>
      </c>
      <c r="G110" s="5">
        <v>19832</v>
      </c>
      <c r="H110" s="5"/>
      <c r="I110" s="5"/>
      <c r="J110" s="5"/>
      <c r="K110" s="5"/>
      <c r="L110" s="5"/>
      <c r="M110" s="5"/>
      <c r="N110" s="5"/>
      <c r="O110" s="11">
        <f t="shared" si="1"/>
        <v>79083</v>
      </c>
    </row>
    <row r="111" spans="1:15" x14ac:dyDescent="0.35">
      <c r="A111" s="2">
        <v>109</v>
      </c>
      <c r="B111" s="2" t="s">
        <v>72</v>
      </c>
      <c r="C111" s="5">
        <v>37127</v>
      </c>
      <c r="D111" s="5">
        <v>14274</v>
      </c>
      <c r="E111" s="5">
        <v>47220</v>
      </c>
      <c r="F111" s="5">
        <v>55608</v>
      </c>
      <c r="G111" s="5">
        <v>60898</v>
      </c>
      <c r="H111" s="5"/>
      <c r="I111" s="5"/>
      <c r="J111" s="5"/>
      <c r="K111" s="5"/>
      <c r="L111" s="5"/>
      <c r="M111" s="5"/>
      <c r="N111" s="5"/>
      <c r="O111" s="11">
        <f t="shared" si="1"/>
        <v>215127</v>
      </c>
    </row>
    <row r="112" spans="1:15" x14ac:dyDescent="0.35">
      <c r="A112" s="2">
        <v>110</v>
      </c>
      <c r="B112" s="2" t="s">
        <v>74</v>
      </c>
      <c r="C112" s="5">
        <v>42716</v>
      </c>
      <c r="D112" s="5">
        <v>36833</v>
      </c>
      <c r="E112" s="5">
        <v>22168</v>
      </c>
      <c r="F112" s="5">
        <v>30693</v>
      </c>
      <c r="G112" s="5">
        <v>17052</v>
      </c>
      <c r="H112" s="5"/>
      <c r="I112" s="5"/>
      <c r="J112" s="5"/>
      <c r="K112" s="5"/>
      <c r="L112" s="5"/>
      <c r="M112" s="5"/>
      <c r="N112" s="5"/>
      <c r="O112" s="11">
        <f t="shared" si="1"/>
        <v>149462</v>
      </c>
    </row>
    <row r="113" spans="1:15" x14ac:dyDescent="0.35">
      <c r="A113" s="2">
        <v>111</v>
      </c>
      <c r="B113" s="2" t="s">
        <v>73</v>
      </c>
      <c r="C113" s="5">
        <v>4263</v>
      </c>
      <c r="D113" s="5">
        <v>11083</v>
      </c>
      <c r="E113" s="5">
        <v>9379</v>
      </c>
      <c r="F113" s="5">
        <v>11084</v>
      </c>
      <c r="G113" s="5">
        <v>6821</v>
      </c>
      <c r="H113" s="5"/>
      <c r="I113" s="5"/>
      <c r="J113" s="5"/>
      <c r="K113" s="5"/>
      <c r="L113" s="5"/>
      <c r="M113" s="5"/>
      <c r="N113" s="5"/>
      <c r="O113" s="11">
        <f t="shared" si="1"/>
        <v>42630</v>
      </c>
    </row>
    <row r="114" spans="1:15" x14ac:dyDescent="0.35">
      <c r="A114" s="2">
        <v>112</v>
      </c>
      <c r="B114" s="2" t="s">
        <v>267</v>
      </c>
      <c r="C114" s="5">
        <v>0</v>
      </c>
      <c r="D114" s="5">
        <v>0</v>
      </c>
      <c r="E114" s="5">
        <v>0</v>
      </c>
      <c r="F114" s="5">
        <v>0</v>
      </c>
      <c r="G114" s="5">
        <v>15862</v>
      </c>
      <c r="H114" s="5"/>
      <c r="I114" s="5"/>
      <c r="J114" s="5"/>
      <c r="K114" s="5"/>
      <c r="L114" s="5"/>
      <c r="M114" s="5"/>
      <c r="N114" s="5"/>
      <c r="O114" s="11">
        <f t="shared" si="1"/>
        <v>15862</v>
      </c>
    </row>
    <row r="115" spans="1:15" x14ac:dyDescent="0.35">
      <c r="A115" s="2">
        <v>113</v>
      </c>
      <c r="B115" s="2" t="s">
        <v>248</v>
      </c>
      <c r="C115" s="5">
        <v>10710</v>
      </c>
      <c r="D115" s="5">
        <v>14120</v>
      </c>
      <c r="E115" s="5">
        <v>14120</v>
      </c>
      <c r="F115" s="5">
        <v>10710</v>
      </c>
      <c r="G115" s="5">
        <v>19853</v>
      </c>
      <c r="H115" s="5"/>
      <c r="I115" s="5"/>
      <c r="J115" s="5"/>
      <c r="K115" s="5"/>
      <c r="L115" s="5"/>
      <c r="M115" s="5"/>
      <c r="N115" s="5"/>
      <c r="O115" s="11">
        <f t="shared" si="1"/>
        <v>69513</v>
      </c>
    </row>
    <row r="116" spans="1:15" x14ac:dyDescent="0.35">
      <c r="A116" s="2">
        <v>114</v>
      </c>
      <c r="B116" s="2" t="s">
        <v>75</v>
      </c>
      <c r="C116" s="5">
        <v>34689</v>
      </c>
      <c r="D116" s="5">
        <v>3411</v>
      </c>
      <c r="E116" s="5">
        <v>16870</v>
      </c>
      <c r="F116" s="5">
        <v>14579</v>
      </c>
      <c r="G116" s="5">
        <v>8910</v>
      </c>
      <c r="H116" s="5"/>
      <c r="I116" s="5"/>
      <c r="J116" s="5"/>
      <c r="K116" s="5"/>
      <c r="L116" s="5"/>
      <c r="M116" s="5"/>
      <c r="N116" s="5"/>
      <c r="O116" s="11">
        <f t="shared" si="1"/>
        <v>78459</v>
      </c>
    </row>
    <row r="117" spans="1:15" x14ac:dyDescent="0.35">
      <c r="A117" s="2">
        <v>115</v>
      </c>
      <c r="B117" s="2" t="s">
        <v>249</v>
      </c>
      <c r="C117" s="5">
        <v>4280</v>
      </c>
      <c r="D117" s="5">
        <v>3420</v>
      </c>
      <c r="E117" s="5">
        <v>7070</v>
      </c>
      <c r="F117" s="5">
        <v>4230</v>
      </c>
      <c r="G117" s="5">
        <v>13583</v>
      </c>
      <c r="H117" s="5"/>
      <c r="I117" s="5"/>
      <c r="J117" s="5"/>
      <c r="K117" s="5"/>
      <c r="L117" s="5"/>
      <c r="M117" s="5"/>
      <c r="N117" s="5"/>
      <c r="O117" s="11">
        <f t="shared" si="1"/>
        <v>32583</v>
      </c>
    </row>
    <row r="118" spans="1:15" x14ac:dyDescent="0.35">
      <c r="A118" s="2">
        <v>116</v>
      </c>
      <c r="B118" s="2" t="s">
        <v>92</v>
      </c>
      <c r="C118" s="5">
        <v>0</v>
      </c>
      <c r="D118" s="5">
        <v>0</v>
      </c>
      <c r="E118" s="5">
        <v>0</v>
      </c>
      <c r="F118" s="5">
        <v>14121</v>
      </c>
      <c r="G118" s="5">
        <v>7673</v>
      </c>
      <c r="H118" s="5"/>
      <c r="I118" s="5"/>
      <c r="J118" s="5"/>
      <c r="K118" s="5"/>
      <c r="L118" s="5"/>
      <c r="M118" s="5"/>
      <c r="N118" s="5"/>
      <c r="O118" s="11">
        <f t="shared" si="1"/>
        <v>21794</v>
      </c>
    </row>
    <row r="119" spans="1:15" x14ac:dyDescent="0.35">
      <c r="A119" s="2">
        <v>117</v>
      </c>
      <c r="B119" s="2" t="s">
        <v>52</v>
      </c>
      <c r="C119" s="5">
        <v>0</v>
      </c>
      <c r="D119" s="5">
        <v>29884</v>
      </c>
      <c r="E119" s="5">
        <v>15736</v>
      </c>
      <c r="F119" s="5">
        <v>11715</v>
      </c>
      <c r="G119" s="5">
        <v>0</v>
      </c>
      <c r="H119" s="5"/>
      <c r="I119" s="5"/>
      <c r="J119" s="5"/>
      <c r="K119" s="5"/>
      <c r="L119" s="5"/>
      <c r="M119" s="5"/>
      <c r="N119" s="5"/>
      <c r="O119" s="11">
        <f t="shared" si="1"/>
        <v>57335</v>
      </c>
    </row>
    <row r="120" spans="1:15" x14ac:dyDescent="0.35">
      <c r="A120" s="2">
        <v>118</v>
      </c>
      <c r="B120" s="2" t="s">
        <v>280</v>
      </c>
      <c r="C120" s="5">
        <v>11025</v>
      </c>
      <c r="D120" s="5">
        <v>4900</v>
      </c>
      <c r="E120" s="5">
        <v>20825</v>
      </c>
      <c r="F120" s="5">
        <v>12250</v>
      </c>
      <c r="G120" s="5">
        <v>11025</v>
      </c>
      <c r="H120" s="5"/>
      <c r="I120" s="5"/>
      <c r="J120" s="5"/>
      <c r="K120" s="5"/>
      <c r="L120" s="5"/>
      <c r="M120" s="5"/>
      <c r="N120" s="5"/>
      <c r="O120" s="11">
        <f t="shared" si="1"/>
        <v>60025</v>
      </c>
    </row>
    <row r="121" spans="1:15" x14ac:dyDescent="0.35">
      <c r="A121" s="2">
        <v>119</v>
      </c>
      <c r="B121" s="2" t="s">
        <v>251</v>
      </c>
      <c r="C121" s="5">
        <v>6213</v>
      </c>
      <c r="D121" s="5">
        <v>3533</v>
      </c>
      <c r="E121" s="5">
        <v>18953</v>
      </c>
      <c r="F121" s="5">
        <v>9026</v>
      </c>
      <c r="G121" s="5">
        <v>19757</v>
      </c>
      <c r="H121" s="5"/>
      <c r="I121" s="5"/>
      <c r="J121" s="5"/>
      <c r="K121" s="5"/>
      <c r="L121" s="5"/>
      <c r="M121" s="5"/>
      <c r="N121" s="5"/>
      <c r="O121" s="11">
        <f t="shared" si="1"/>
        <v>57482</v>
      </c>
    </row>
    <row r="122" spans="1:15" x14ac:dyDescent="0.35">
      <c r="A122" s="2">
        <v>120</v>
      </c>
      <c r="B122" s="2" t="s">
        <v>94</v>
      </c>
      <c r="C122" s="5">
        <v>0</v>
      </c>
      <c r="D122" s="5">
        <v>0</v>
      </c>
      <c r="E122" s="5">
        <v>0</v>
      </c>
      <c r="F122" s="5">
        <v>5746</v>
      </c>
      <c r="G122" s="5">
        <v>0</v>
      </c>
      <c r="H122" s="5"/>
      <c r="I122" s="5"/>
      <c r="J122" s="5"/>
      <c r="K122" s="5"/>
      <c r="L122" s="5"/>
      <c r="M122" s="5"/>
      <c r="N122" s="5"/>
      <c r="O122" s="11">
        <f t="shared" si="1"/>
        <v>5746</v>
      </c>
    </row>
    <row r="123" spans="1:15" x14ac:dyDescent="0.35">
      <c r="A123" s="2">
        <v>121</v>
      </c>
      <c r="B123" s="2" t="s">
        <v>77</v>
      </c>
      <c r="C123" s="5">
        <v>0</v>
      </c>
      <c r="D123" s="5">
        <v>0</v>
      </c>
      <c r="E123" s="5">
        <v>0</v>
      </c>
      <c r="F123" s="5">
        <v>0</v>
      </c>
      <c r="G123" s="5">
        <v>12853</v>
      </c>
      <c r="H123" s="5"/>
      <c r="I123" s="5"/>
      <c r="J123" s="5"/>
      <c r="K123" s="5"/>
      <c r="L123" s="5"/>
      <c r="M123" s="5"/>
      <c r="N123" s="5"/>
      <c r="O123" s="11">
        <f t="shared" si="1"/>
        <v>12853</v>
      </c>
    </row>
    <row r="124" spans="1:15" x14ac:dyDescent="0.35">
      <c r="A124" s="2">
        <v>122</v>
      </c>
      <c r="B124" s="2" t="s">
        <v>78</v>
      </c>
      <c r="C124" s="5">
        <v>15870</v>
      </c>
      <c r="D124" s="5">
        <v>0</v>
      </c>
      <c r="E124" s="5">
        <v>0</v>
      </c>
      <c r="F124" s="5">
        <v>0</v>
      </c>
      <c r="G124" s="5">
        <v>0</v>
      </c>
      <c r="H124" s="5"/>
      <c r="I124" s="5"/>
      <c r="J124" s="5"/>
      <c r="K124" s="5"/>
      <c r="L124" s="5"/>
      <c r="M124" s="5"/>
      <c r="N124" s="5"/>
      <c r="O124" s="11">
        <f t="shared" si="1"/>
        <v>15870</v>
      </c>
    </row>
    <row r="125" spans="1:15" x14ac:dyDescent="0.35">
      <c r="A125" s="2">
        <v>123</v>
      </c>
      <c r="B125" s="2" t="s">
        <v>79</v>
      </c>
      <c r="C125" s="5">
        <v>7030</v>
      </c>
      <c r="D125" s="5">
        <v>7130</v>
      </c>
      <c r="E125" s="5">
        <v>5239</v>
      </c>
      <c r="F125" s="5">
        <v>11539</v>
      </c>
      <c r="G125" s="5">
        <v>0</v>
      </c>
      <c r="H125" s="5"/>
      <c r="I125" s="5"/>
      <c r="J125" s="5"/>
      <c r="K125" s="5"/>
      <c r="L125" s="5"/>
      <c r="M125" s="5"/>
      <c r="N125" s="5"/>
      <c r="O125" s="11">
        <f t="shared" si="1"/>
        <v>30938</v>
      </c>
    </row>
    <row r="126" spans="1:15" x14ac:dyDescent="0.35">
      <c r="A126" s="2">
        <v>124</v>
      </c>
      <c r="B126" s="2" t="s">
        <v>80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/>
      <c r="I126" s="5"/>
      <c r="J126" s="5"/>
      <c r="K126" s="5"/>
      <c r="L126" s="5"/>
      <c r="M126" s="5"/>
      <c r="N126" s="5"/>
      <c r="O126" s="11">
        <f t="shared" si="1"/>
        <v>0</v>
      </c>
    </row>
    <row r="127" spans="1:15" x14ac:dyDescent="0.35">
      <c r="A127" s="2">
        <v>125</v>
      </c>
      <c r="B127" s="2" t="s">
        <v>81</v>
      </c>
      <c r="C127" s="5">
        <v>36500</v>
      </c>
      <c r="D127" s="5">
        <v>0</v>
      </c>
      <c r="E127" s="5">
        <v>9030</v>
      </c>
      <c r="F127" s="5">
        <v>10320</v>
      </c>
      <c r="G127" s="5">
        <v>0</v>
      </c>
      <c r="H127" s="5"/>
      <c r="I127" s="5"/>
      <c r="J127" s="5"/>
      <c r="K127" s="5"/>
      <c r="L127" s="5"/>
      <c r="M127" s="5"/>
      <c r="N127" s="5"/>
      <c r="O127" s="11">
        <f t="shared" si="1"/>
        <v>55850</v>
      </c>
    </row>
    <row r="128" spans="1:15" x14ac:dyDescent="0.35">
      <c r="A128" s="2">
        <v>126</v>
      </c>
      <c r="B128" s="2" t="s">
        <v>84</v>
      </c>
      <c r="C128" s="5">
        <v>11390</v>
      </c>
      <c r="D128" s="5">
        <v>3350</v>
      </c>
      <c r="E128" s="5">
        <v>4960</v>
      </c>
      <c r="F128" s="5">
        <v>4690</v>
      </c>
      <c r="G128" s="5">
        <v>3350</v>
      </c>
      <c r="H128" s="5"/>
      <c r="I128" s="5"/>
      <c r="J128" s="5"/>
      <c r="K128" s="5"/>
      <c r="L128" s="5"/>
      <c r="M128" s="5"/>
      <c r="N128" s="5"/>
      <c r="O128" s="11">
        <f t="shared" si="1"/>
        <v>27740</v>
      </c>
    </row>
    <row r="129" spans="1:15" x14ac:dyDescent="0.35">
      <c r="A129" s="2">
        <v>127</v>
      </c>
      <c r="B129" s="2" t="s">
        <v>82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/>
      <c r="I129" s="5"/>
      <c r="J129" s="5"/>
      <c r="K129" s="5"/>
      <c r="L129" s="5"/>
      <c r="M129" s="5"/>
      <c r="N129" s="5"/>
      <c r="O129" s="11">
        <f t="shared" si="1"/>
        <v>0</v>
      </c>
    </row>
    <row r="130" spans="1:15" x14ac:dyDescent="0.35">
      <c r="A130" s="2">
        <v>128</v>
      </c>
      <c r="B130" s="2" t="s">
        <v>83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/>
      <c r="I130" s="5"/>
      <c r="J130" s="5"/>
      <c r="K130" s="5"/>
      <c r="L130" s="5"/>
      <c r="M130" s="5"/>
      <c r="N130" s="5"/>
      <c r="O130" s="11">
        <f t="shared" si="1"/>
        <v>0</v>
      </c>
    </row>
    <row r="131" spans="1:15" x14ac:dyDescent="0.35">
      <c r="A131" s="2">
        <v>129</v>
      </c>
      <c r="B131" s="2" t="s">
        <v>95</v>
      </c>
      <c r="C131" s="5">
        <v>0</v>
      </c>
      <c r="D131" s="5">
        <v>0</v>
      </c>
      <c r="E131" s="5">
        <v>0</v>
      </c>
      <c r="F131" s="5">
        <v>15374</v>
      </c>
      <c r="G131" s="5">
        <v>0</v>
      </c>
      <c r="H131" s="5"/>
      <c r="I131" s="5"/>
      <c r="J131" s="5"/>
      <c r="K131" s="5"/>
      <c r="L131" s="5"/>
      <c r="M131" s="5"/>
      <c r="N131" s="5"/>
      <c r="O131" s="11">
        <f t="shared" si="1"/>
        <v>15374</v>
      </c>
    </row>
    <row r="132" spans="1:15" x14ac:dyDescent="0.35">
      <c r="A132" s="2">
        <v>130</v>
      </c>
      <c r="B132" s="2" t="s">
        <v>96</v>
      </c>
      <c r="C132" s="5">
        <v>0</v>
      </c>
      <c r="D132" s="5">
        <v>0</v>
      </c>
      <c r="E132" s="5">
        <v>0</v>
      </c>
      <c r="F132" s="5">
        <v>15625</v>
      </c>
      <c r="G132" s="5">
        <v>0</v>
      </c>
      <c r="H132" s="5"/>
      <c r="I132" s="5"/>
      <c r="J132" s="5"/>
      <c r="K132" s="5"/>
      <c r="L132" s="5"/>
      <c r="M132" s="5"/>
      <c r="N132" s="5"/>
      <c r="O132" s="11">
        <f t="shared" si="1"/>
        <v>15625</v>
      </c>
    </row>
    <row r="133" spans="1:15" x14ac:dyDescent="0.35">
      <c r="A133" s="2">
        <v>131</v>
      </c>
      <c r="B133" s="2" t="s">
        <v>85</v>
      </c>
      <c r="C133" s="5">
        <v>20160</v>
      </c>
      <c r="D133" s="5">
        <v>22680</v>
      </c>
      <c r="E133" s="5">
        <v>23575</v>
      </c>
      <c r="F133" s="5">
        <v>21000</v>
      </c>
      <c r="G133" s="5">
        <v>21000</v>
      </c>
      <c r="H133" s="5"/>
      <c r="I133" s="5"/>
      <c r="J133" s="5"/>
      <c r="K133" s="5"/>
      <c r="L133" s="5"/>
      <c r="M133" s="5"/>
      <c r="N133" s="5"/>
      <c r="O133" s="11">
        <f t="shared" si="1"/>
        <v>108415</v>
      </c>
    </row>
    <row r="134" spans="1:15" x14ac:dyDescent="0.35">
      <c r="A134" s="2">
        <v>132</v>
      </c>
      <c r="B134" s="2" t="s">
        <v>180</v>
      </c>
      <c r="C134" s="5">
        <v>9800</v>
      </c>
      <c r="D134" s="5">
        <v>39200</v>
      </c>
      <c r="E134" s="5">
        <v>58800</v>
      </c>
      <c r="F134" s="5">
        <v>46550</v>
      </c>
      <c r="G134" s="5">
        <v>29400</v>
      </c>
      <c r="H134" s="5"/>
      <c r="I134" s="5"/>
      <c r="J134" s="5"/>
      <c r="K134" s="5"/>
      <c r="L134" s="5"/>
      <c r="M134" s="5"/>
      <c r="N134" s="5"/>
      <c r="O134" s="11">
        <f t="shared" si="1"/>
        <v>183750</v>
      </c>
    </row>
    <row r="135" spans="1:15" x14ac:dyDescent="0.35">
      <c r="A135" s="2">
        <v>133</v>
      </c>
      <c r="B135" s="2" t="s">
        <v>86</v>
      </c>
      <c r="C135" s="5">
        <v>11084</v>
      </c>
      <c r="D135" s="5">
        <v>0</v>
      </c>
      <c r="E135" s="5">
        <v>0</v>
      </c>
      <c r="F135" s="5">
        <v>12789</v>
      </c>
      <c r="G135" s="5">
        <v>0</v>
      </c>
      <c r="H135" s="5"/>
      <c r="I135" s="5"/>
      <c r="J135" s="5"/>
      <c r="K135" s="5"/>
      <c r="L135" s="5"/>
      <c r="M135" s="5"/>
      <c r="N135" s="5"/>
      <c r="O135" s="11">
        <f t="shared" si="1"/>
        <v>23873</v>
      </c>
    </row>
    <row r="136" spans="1:15" x14ac:dyDescent="0.35">
      <c r="A136" s="2">
        <v>134</v>
      </c>
      <c r="B136" s="2" t="s">
        <v>87</v>
      </c>
      <c r="C136" s="5">
        <v>4446</v>
      </c>
      <c r="D136" s="5">
        <v>0</v>
      </c>
      <c r="E136" s="5">
        <v>0</v>
      </c>
      <c r="F136" s="5">
        <v>0</v>
      </c>
      <c r="G136" s="5">
        <v>5583</v>
      </c>
      <c r="H136" s="5"/>
      <c r="I136" s="5"/>
      <c r="J136" s="5"/>
      <c r="K136" s="5"/>
      <c r="L136" s="5"/>
      <c r="M136" s="5"/>
      <c r="N136" s="5"/>
      <c r="O136" s="11">
        <f t="shared" si="1"/>
        <v>10029</v>
      </c>
    </row>
    <row r="137" spans="1:15" x14ac:dyDescent="0.35">
      <c r="A137" s="2">
        <v>135</v>
      </c>
      <c r="B137" s="2" t="s">
        <v>256</v>
      </c>
      <c r="C137" s="5">
        <v>42560</v>
      </c>
      <c r="D137" s="5">
        <v>18760</v>
      </c>
      <c r="E137" s="5">
        <v>30160</v>
      </c>
      <c r="F137" s="5">
        <v>33510</v>
      </c>
      <c r="G137" s="5">
        <v>18760</v>
      </c>
      <c r="H137" s="5"/>
      <c r="I137" s="5"/>
      <c r="J137" s="5"/>
      <c r="K137" s="5"/>
      <c r="L137" s="5"/>
      <c r="M137" s="5"/>
      <c r="N137" s="5"/>
      <c r="O137" s="11">
        <f t="shared" ref="O137:O138" si="2">SUM(C137:N137)</f>
        <v>143750</v>
      </c>
    </row>
    <row r="138" spans="1:15" x14ac:dyDescent="0.35">
      <c r="A138" s="2">
        <v>136</v>
      </c>
      <c r="B138" s="2" t="s">
        <v>88</v>
      </c>
      <c r="C138" s="5">
        <v>11407</v>
      </c>
      <c r="D138" s="5">
        <v>0</v>
      </c>
      <c r="E138" s="5">
        <v>7255</v>
      </c>
      <c r="F138" s="5">
        <v>6025</v>
      </c>
      <c r="G138" s="5">
        <v>0</v>
      </c>
      <c r="H138" s="5"/>
      <c r="I138" s="5"/>
      <c r="J138" s="5"/>
      <c r="K138" s="5"/>
      <c r="L138" s="5"/>
      <c r="M138" s="5"/>
      <c r="N138" s="5"/>
      <c r="O138" s="11">
        <f t="shared" si="2"/>
        <v>24687</v>
      </c>
    </row>
    <row r="139" spans="1:15" x14ac:dyDescent="0.35">
      <c r="A139" s="1"/>
      <c r="B139" s="7" t="s">
        <v>17</v>
      </c>
      <c r="C139" s="8">
        <f t="shared" ref="C139:O139" si="3">SUM(C3:C138)</f>
        <v>3460609</v>
      </c>
      <c r="D139" s="8">
        <f t="shared" si="3"/>
        <v>2834708</v>
      </c>
      <c r="E139" s="8">
        <f t="shared" si="3"/>
        <v>3891198</v>
      </c>
      <c r="F139" s="8">
        <f t="shared" si="3"/>
        <v>4150598</v>
      </c>
      <c r="G139" s="8">
        <f t="shared" si="3"/>
        <v>3571864</v>
      </c>
      <c r="H139" s="8">
        <f t="shared" si="3"/>
        <v>0</v>
      </c>
      <c r="I139" s="8">
        <f t="shared" si="3"/>
        <v>0</v>
      </c>
      <c r="J139" s="8">
        <f t="shared" si="3"/>
        <v>0</v>
      </c>
      <c r="K139" s="8">
        <f t="shared" si="3"/>
        <v>0</v>
      </c>
      <c r="L139" s="8">
        <f t="shared" si="3"/>
        <v>0</v>
      </c>
      <c r="M139" s="8">
        <f t="shared" si="3"/>
        <v>0</v>
      </c>
      <c r="N139" s="8">
        <f t="shared" si="3"/>
        <v>0</v>
      </c>
      <c r="O139" s="12">
        <f t="shared" si="3"/>
        <v>17908977</v>
      </c>
    </row>
  </sheetData>
  <sortState ref="B3:B138">
    <sortCondition ref="B3:B138"/>
  </sortState>
  <mergeCells count="1">
    <mergeCell ref="B1:O1"/>
  </mergeCells>
  <pageMargins left="0.7" right="0.7" top="0.75" bottom="0.75" header="0.3" footer="0.3"/>
  <pageSetup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O84"/>
  <sheetViews>
    <sheetView workbookViewId="0">
      <selection activeCell="C66" sqref="C66"/>
    </sheetView>
  </sheetViews>
  <sheetFormatPr defaultRowHeight="14.5" x14ac:dyDescent="0.35"/>
  <cols>
    <col min="1" max="1" width="3.54296875" customWidth="1"/>
    <col min="2" max="2" width="31.1796875" customWidth="1"/>
    <col min="3" max="3" width="18.7265625" customWidth="1"/>
    <col min="4" max="6" width="13.26953125" bestFit="1" customWidth="1"/>
    <col min="7" max="7" width="13.26953125" customWidth="1"/>
    <col min="10" max="10" width="9" bestFit="1" customWidth="1"/>
    <col min="11" max="11" width="12.54296875" bestFit="1" customWidth="1"/>
    <col min="12" max="12" width="10.1796875" bestFit="1" customWidth="1"/>
    <col min="13" max="13" width="12.26953125" bestFit="1" customWidth="1"/>
    <col min="14" max="14" width="11.54296875" bestFit="1" customWidth="1"/>
    <col min="15" max="15" width="14.26953125" customWidth="1"/>
  </cols>
  <sheetData>
    <row r="1" spans="1:15" ht="28.5" x14ac:dyDescent="0.65">
      <c r="A1" s="4"/>
      <c r="B1" s="16" t="s">
        <v>100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5" ht="15.5" x14ac:dyDescent="0.35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9" t="s">
        <v>17</v>
      </c>
    </row>
    <row r="3" spans="1:15" x14ac:dyDescent="0.35">
      <c r="A3" s="2">
        <v>1</v>
      </c>
      <c r="B3" s="2" t="s">
        <v>101</v>
      </c>
      <c r="C3" s="5">
        <v>0</v>
      </c>
      <c r="D3" s="5">
        <v>12475</v>
      </c>
      <c r="E3" s="5">
        <v>0</v>
      </c>
      <c r="F3" s="5">
        <v>15300</v>
      </c>
      <c r="G3" s="5">
        <v>13699</v>
      </c>
      <c r="H3" s="5"/>
      <c r="I3" s="5"/>
      <c r="J3" s="5"/>
      <c r="K3" s="5"/>
      <c r="L3" s="5"/>
      <c r="M3" s="5"/>
      <c r="N3" s="5"/>
      <c r="O3" s="10">
        <f>SUM(C3:N3)</f>
        <v>41474</v>
      </c>
    </row>
    <row r="4" spans="1:15" x14ac:dyDescent="0.35">
      <c r="A4" s="2">
        <v>2</v>
      </c>
      <c r="B4" s="2" t="s">
        <v>192</v>
      </c>
      <c r="C4" s="5">
        <v>0</v>
      </c>
      <c r="D4" s="5">
        <v>18375</v>
      </c>
      <c r="E4" s="5">
        <v>0</v>
      </c>
      <c r="F4" s="5">
        <v>0</v>
      </c>
      <c r="G4" s="5">
        <v>0</v>
      </c>
      <c r="H4" s="5"/>
      <c r="I4" s="5"/>
      <c r="J4" s="5"/>
      <c r="K4" s="5"/>
      <c r="L4" s="5"/>
      <c r="M4" s="5"/>
      <c r="N4" s="5"/>
      <c r="O4" s="10">
        <f t="shared" ref="O4:O52" si="0">SUM(C4:N4)</f>
        <v>18375</v>
      </c>
    </row>
    <row r="5" spans="1:15" x14ac:dyDescent="0.35">
      <c r="A5" s="2">
        <v>3</v>
      </c>
      <c r="B5" s="2" t="s">
        <v>103</v>
      </c>
      <c r="C5" s="5">
        <v>0</v>
      </c>
      <c r="D5" s="5">
        <v>13069</v>
      </c>
      <c r="E5" s="5">
        <v>4964</v>
      </c>
      <c r="F5" s="5">
        <v>0</v>
      </c>
      <c r="G5" s="5">
        <v>0</v>
      </c>
      <c r="H5" s="5"/>
      <c r="I5" s="5"/>
      <c r="J5" s="5"/>
      <c r="K5" s="5"/>
      <c r="L5" s="5"/>
      <c r="M5" s="5"/>
      <c r="N5" s="5"/>
      <c r="O5" s="10">
        <f t="shared" si="0"/>
        <v>18033</v>
      </c>
    </row>
    <row r="6" spans="1:15" x14ac:dyDescent="0.35">
      <c r="A6" s="2">
        <v>4</v>
      </c>
      <c r="B6" s="2" t="s">
        <v>105</v>
      </c>
      <c r="C6" s="5">
        <v>149360</v>
      </c>
      <c r="D6" s="5">
        <v>98530</v>
      </c>
      <c r="E6" s="5">
        <v>78823</v>
      </c>
      <c r="F6" s="5">
        <v>111103</v>
      </c>
      <c r="G6" s="5">
        <v>85123</v>
      </c>
      <c r="H6" s="5"/>
      <c r="I6" s="5"/>
      <c r="J6" s="5"/>
      <c r="K6" s="5"/>
      <c r="L6" s="5"/>
      <c r="M6" s="5"/>
      <c r="N6" s="5"/>
      <c r="O6" s="10">
        <f t="shared" si="0"/>
        <v>522939</v>
      </c>
    </row>
    <row r="7" spans="1:15" x14ac:dyDescent="0.35">
      <c r="A7" s="2">
        <v>5</v>
      </c>
      <c r="B7" s="2" t="s">
        <v>102</v>
      </c>
      <c r="C7" s="5">
        <v>14891</v>
      </c>
      <c r="D7" s="5">
        <v>15803</v>
      </c>
      <c r="E7" s="5">
        <v>24944</v>
      </c>
      <c r="F7" s="5">
        <v>14357</v>
      </c>
      <c r="G7" s="5">
        <v>19524</v>
      </c>
      <c r="H7" s="5"/>
      <c r="I7" s="5"/>
      <c r="J7" s="5"/>
      <c r="K7" s="5"/>
      <c r="L7" s="5"/>
      <c r="M7" s="5"/>
      <c r="N7" s="5"/>
      <c r="O7" s="10">
        <f t="shared" si="0"/>
        <v>89519</v>
      </c>
    </row>
    <row r="8" spans="1:15" x14ac:dyDescent="0.35">
      <c r="A8" s="2">
        <v>6</v>
      </c>
      <c r="B8" s="2" t="s">
        <v>104</v>
      </c>
      <c r="C8" s="5">
        <v>546921</v>
      </c>
      <c r="D8" s="5">
        <v>477150</v>
      </c>
      <c r="E8" s="5">
        <v>753306</v>
      </c>
      <c r="F8" s="5">
        <v>535951</v>
      </c>
      <c r="G8" s="5">
        <v>658461</v>
      </c>
      <c r="H8" s="5"/>
      <c r="I8" s="5"/>
      <c r="J8" s="5"/>
      <c r="K8" s="5"/>
      <c r="L8" s="5"/>
      <c r="M8" s="5"/>
      <c r="N8" s="5"/>
      <c r="O8" s="10">
        <f t="shared" si="0"/>
        <v>2971789</v>
      </c>
    </row>
    <row r="9" spans="1:15" x14ac:dyDescent="0.35">
      <c r="A9" s="2">
        <v>7</v>
      </c>
      <c r="B9" s="2" t="s">
        <v>106</v>
      </c>
      <c r="C9" s="5">
        <v>39974</v>
      </c>
      <c r="D9" s="5">
        <v>0</v>
      </c>
      <c r="E9" s="5">
        <v>29537</v>
      </c>
      <c r="F9" s="5">
        <v>24275</v>
      </c>
      <c r="G9" s="5">
        <v>55216</v>
      </c>
      <c r="H9" s="5"/>
      <c r="I9" s="5"/>
      <c r="J9" s="5"/>
      <c r="K9" s="5"/>
      <c r="L9" s="5"/>
      <c r="M9" s="5"/>
      <c r="N9" s="5"/>
      <c r="O9" s="10">
        <f t="shared" si="0"/>
        <v>149002</v>
      </c>
    </row>
    <row r="10" spans="1:15" x14ac:dyDescent="0.35">
      <c r="A10" s="2">
        <v>8</v>
      </c>
      <c r="B10" s="2" t="s">
        <v>107</v>
      </c>
      <c r="C10" s="5">
        <v>50773</v>
      </c>
      <c r="D10" s="5">
        <v>40573</v>
      </c>
      <c r="E10" s="5">
        <v>92749</v>
      </c>
      <c r="F10" s="5">
        <v>40198</v>
      </c>
      <c r="G10" s="5">
        <v>82796</v>
      </c>
      <c r="H10" s="5"/>
      <c r="I10" s="5"/>
      <c r="J10" s="5"/>
      <c r="K10" s="5"/>
      <c r="L10" s="5"/>
      <c r="M10" s="5"/>
      <c r="N10" s="5"/>
      <c r="O10" s="10">
        <f t="shared" si="0"/>
        <v>307089</v>
      </c>
    </row>
    <row r="11" spans="1:15" x14ac:dyDescent="0.35">
      <c r="A11" s="2">
        <v>9</v>
      </c>
      <c r="B11" s="2" t="s">
        <v>108</v>
      </c>
      <c r="C11" s="5">
        <v>20566</v>
      </c>
      <c r="D11" s="5">
        <v>30392</v>
      </c>
      <c r="E11" s="5">
        <v>0</v>
      </c>
      <c r="F11" s="5">
        <v>19274</v>
      </c>
      <c r="G11" s="5">
        <v>0</v>
      </c>
      <c r="H11" s="5"/>
      <c r="I11" s="5"/>
      <c r="J11" s="5"/>
      <c r="K11" s="5"/>
      <c r="L11" s="5"/>
      <c r="M11" s="5"/>
      <c r="N11" s="5"/>
      <c r="O11" s="10">
        <f t="shared" si="0"/>
        <v>70232</v>
      </c>
    </row>
    <row r="12" spans="1:15" x14ac:dyDescent="0.35">
      <c r="A12" s="2">
        <v>10</v>
      </c>
      <c r="B12" s="2" t="s">
        <v>200</v>
      </c>
      <c r="C12" s="5">
        <v>0</v>
      </c>
      <c r="D12" s="5">
        <v>44313</v>
      </c>
      <c r="E12" s="5">
        <v>46574</v>
      </c>
      <c r="F12" s="5">
        <v>32535</v>
      </c>
      <c r="G12" s="5">
        <v>0</v>
      </c>
      <c r="H12" s="5"/>
      <c r="I12" s="5"/>
      <c r="J12" s="5"/>
      <c r="K12" s="5"/>
      <c r="L12" s="5"/>
      <c r="M12" s="5"/>
      <c r="N12" s="5"/>
      <c r="O12" s="10">
        <f t="shared" si="0"/>
        <v>123422</v>
      </c>
    </row>
    <row r="13" spans="1:15" x14ac:dyDescent="0.35">
      <c r="A13" s="2">
        <v>11</v>
      </c>
      <c r="B13" s="2" t="s">
        <v>203</v>
      </c>
      <c r="C13" s="5">
        <v>0</v>
      </c>
      <c r="D13" s="5">
        <v>0</v>
      </c>
      <c r="E13" s="5">
        <v>34950</v>
      </c>
      <c r="F13" s="5">
        <v>0</v>
      </c>
      <c r="G13" s="5">
        <v>226996</v>
      </c>
      <c r="H13" s="5"/>
      <c r="I13" s="5"/>
      <c r="J13" s="5"/>
      <c r="K13" s="5"/>
      <c r="L13" s="5"/>
      <c r="M13" s="5"/>
      <c r="N13" s="5"/>
      <c r="O13" s="10">
        <f t="shared" si="0"/>
        <v>261946</v>
      </c>
    </row>
    <row r="14" spans="1:15" x14ac:dyDescent="0.35">
      <c r="A14" s="2">
        <v>12</v>
      </c>
      <c r="B14" s="2" t="s">
        <v>109</v>
      </c>
      <c r="C14" s="5">
        <v>491381</v>
      </c>
      <c r="D14" s="5">
        <v>559420</v>
      </c>
      <c r="E14" s="5">
        <v>749403</v>
      </c>
      <c r="F14" s="5">
        <v>610847</v>
      </c>
      <c r="G14" s="5">
        <v>742246</v>
      </c>
      <c r="H14" s="5"/>
      <c r="I14" s="5"/>
      <c r="J14" s="5"/>
      <c r="K14" s="5"/>
      <c r="L14" s="5"/>
      <c r="M14" s="5"/>
      <c r="N14" s="5"/>
      <c r="O14" s="10">
        <f t="shared" si="0"/>
        <v>3153297</v>
      </c>
    </row>
    <row r="15" spans="1:15" x14ac:dyDescent="0.35">
      <c r="A15" s="2">
        <v>13</v>
      </c>
      <c r="B15" s="2" t="s">
        <v>110</v>
      </c>
      <c r="C15" s="5">
        <v>18675</v>
      </c>
      <c r="D15" s="5">
        <v>15224</v>
      </c>
      <c r="E15" s="5">
        <v>14325</v>
      </c>
      <c r="F15" s="5">
        <v>16575</v>
      </c>
      <c r="G15" s="5">
        <v>10083</v>
      </c>
      <c r="H15" s="5"/>
      <c r="I15" s="5"/>
      <c r="J15" s="5"/>
      <c r="K15" s="5"/>
      <c r="L15" s="5"/>
      <c r="M15" s="5"/>
      <c r="N15" s="5"/>
      <c r="O15" s="10">
        <f t="shared" si="0"/>
        <v>74882</v>
      </c>
    </row>
    <row r="16" spans="1:15" x14ac:dyDescent="0.35">
      <c r="A16" s="2">
        <v>14</v>
      </c>
      <c r="B16" s="2" t="s">
        <v>111</v>
      </c>
      <c r="C16" s="5">
        <v>32546</v>
      </c>
      <c r="D16" s="5">
        <v>34047</v>
      </c>
      <c r="E16" s="5">
        <v>36908</v>
      </c>
      <c r="F16" s="5">
        <v>44333</v>
      </c>
      <c r="G16" s="5">
        <v>22066</v>
      </c>
      <c r="H16" s="5"/>
      <c r="I16" s="5"/>
      <c r="J16" s="5"/>
      <c r="K16" s="5"/>
      <c r="L16" s="5"/>
      <c r="M16" s="5"/>
      <c r="N16" s="5"/>
      <c r="O16" s="10">
        <f t="shared" si="0"/>
        <v>169900</v>
      </c>
    </row>
    <row r="17" spans="1:15" x14ac:dyDescent="0.35">
      <c r="A17" s="2">
        <v>15</v>
      </c>
      <c r="B17" s="2" t="s">
        <v>113</v>
      </c>
      <c r="C17" s="5">
        <v>62906</v>
      </c>
      <c r="D17" s="5">
        <v>88086</v>
      </c>
      <c r="E17" s="5">
        <v>57140</v>
      </c>
      <c r="F17" s="5">
        <v>50837</v>
      </c>
      <c r="G17" s="5">
        <v>52794</v>
      </c>
      <c r="H17" s="5"/>
      <c r="I17" s="5"/>
      <c r="J17" s="5"/>
      <c r="K17" s="5"/>
      <c r="L17" s="5"/>
      <c r="M17" s="5"/>
      <c r="N17" s="5"/>
      <c r="O17" s="10">
        <f t="shared" si="0"/>
        <v>311763</v>
      </c>
    </row>
    <row r="18" spans="1:15" x14ac:dyDescent="0.35">
      <c r="A18" s="2">
        <v>16</v>
      </c>
      <c r="B18" s="2" t="s">
        <v>114</v>
      </c>
      <c r="C18" s="5">
        <v>280646</v>
      </c>
      <c r="D18" s="5">
        <v>324739</v>
      </c>
      <c r="E18" s="5">
        <v>466198</v>
      </c>
      <c r="F18" s="5">
        <v>358869</v>
      </c>
      <c r="G18" s="5">
        <v>418875</v>
      </c>
      <c r="H18" s="5"/>
      <c r="I18" s="5"/>
      <c r="J18" s="5"/>
      <c r="K18" s="5"/>
      <c r="L18" s="5"/>
      <c r="M18" s="5"/>
      <c r="N18" s="5"/>
      <c r="O18" s="10">
        <f t="shared" si="0"/>
        <v>1849327</v>
      </c>
    </row>
    <row r="19" spans="1:15" x14ac:dyDescent="0.35">
      <c r="A19" s="2">
        <v>18</v>
      </c>
      <c r="B19" s="2" t="s">
        <v>116</v>
      </c>
      <c r="C19" s="5">
        <v>60571</v>
      </c>
      <c r="D19" s="5">
        <v>50487</v>
      </c>
      <c r="E19" s="5">
        <v>35438</v>
      </c>
      <c r="F19" s="5">
        <v>56606</v>
      </c>
      <c r="G19" s="5">
        <v>28858</v>
      </c>
      <c r="H19" s="5"/>
      <c r="I19" s="5"/>
      <c r="J19" s="5"/>
      <c r="K19" s="5"/>
      <c r="L19" s="5"/>
      <c r="M19" s="5"/>
      <c r="N19" s="5"/>
      <c r="O19" s="10">
        <f t="shared" si="0"/>
        <v>231960</v>
      </c>
    </row>
    <row r="20" spans="1:15" x14ac:dyDescent="0.35">
      <c r="A20" s="2">
        <v>19</v>
      </c>
      <c r="B20" s="2" t="s">
        <v>118</v>
      </c>
      <c r="C20" s="5">
        <v>0</v>
      </c>
      <c r="D20" s="5">
        <v>0</v>
      </c>
      <c r="E20" s="5">
        <v>13373</v>
      </c>
      <c r="F20" s="5">
        <v>0</v>
      </c>
      <c r="G20" s="5">
        <v>4328</v>
      </c>
      <c r="H20" s="5"/>
      <c r="I20" s="5"/>
      <c r="J20" s="5"/>
      <c r="K20" s="5"/>
      <c r="L20" s="5"/>
      <c r="M20" s="5"/>
      <c r="N20" s="5"/>
      <c r="O20" s="10">
        <f t="shared" si="0"/>
        <v>17701</v>
      </c>
    </row>
    <row r="21" spans="1:15" x14ac:dyDescent="0.35">
      <c r="A21" s="2">
        <v>20</v>
      </c>
      <c r="B21" s="2" t="s">
        <v>119</v>
      </c>
      <c r="C21" s="5">
        <v>9845</v>
      </c>
      <c r="D21" s="5">
        <v>0</v>
      </c>
      <c r="E21" s="5">
        <v>26570</v>
      </c>
      <c r="F21" s="5">
        <v>13725</v>
      </c>
      <c r="G21" s="5">
        <v>0</v>
      </c>
      <c r="H21" s="5"/>
      <c r="I21" s="5"/>
      <c r="J21" s="5"/>
      <c r="K21" s="5"/>
      <c r="L21" s="5"/>
      <c r="M21" s="5"/>
      <c r="N21" s="5"/>
      <c r="O21" s="10">
        <f t="shared" si="0"/>
        <v>50140</v>
      </c>
    </row>
    <row r="22" spans="1:15" x14ac:dyDescent="0.35">
      <c r="A22" s="2">
        <v>21</v>
      </c>
      <c r="B22" s="2" t="s">
        <v>120</v>
      </c>
      <c r="C22" s="5">
        <v>0</v>
      </c>
      <c r="D22" s="5">
        <v>15449</v>
      </c>
      <c r="E22" s="5">
        <v>0</v>
      </c>
      <c r="F22" s="5">
        <v>16775</v>
      </c>
      <c r="G22" s="5">
        <v>0</v>
      </c>
      <c r="H22" s="5"/>
      <c r="I22" s="5"/>
      <c r="J22" s="5"/>
      <c r="K22" s="5"/>
      <c r="L22" s="5"/>
      <c r="M22" s="5"/>
      <c r="N22" s="5"/>
      <c r="O22" s="10">
        <f t="shared" si="0"/>
        <v>32224</v>
      </c>
    </row>
    <row r="23" spans="1:15" x14ac:dyDescent="0.35">
      <c r="A23" s="2">
        <v>22</v>
      </c>
      <c r="B23" s="2" t="s">
        <v>187</v>
      </c>
      <c r="C23" s="5">
        <v>0</v>
      </c>
      <c r="D23" s="5">
        <v>0</v>
      </c>
      <c r="E23" s="5">
        <v>0</v>
      </c>
      <c r="F23" s="5">
        <v>9000</v>
      </c>
      <c r="G23" s="5">
        <v>7425</v>
      </c>
      <c r="H23" s="5"/>
      <c r="I23" s="5"/>
      <c r="J23" s="5"/>
      <c r="K23" s="5"/>
      <c r="L23" s="5"/>
      <c r="M23" s="5"/>
      <c r="N23" s="5"/>
      <c r="O23" s="10">
        <f t="shared" si="0"/>
        <v>16425</v>
      </c>
    </row>
    <row r="24" spans="1:15" x14ac:dyDescent="0.35">
      <c r="A24" s="2">
        <v>23</v>
      </c>
      <c r="B24" s="2" t="s">
        <v>122</v>
      </c>
      <c r="C24" s="5">
        <v>14635</v>
      </c>
      <c r="D24" s="5">
        <v>57436</v>
      </c>
      <c r="E24" s="5">
        <v>32266</v>
      </c>
      <c r="F24" s="5">
        <v>33198</v>
      </c>
      <c r="G24" s="5">
        <v>27098</v>
      </c>
      <c r="H24" s="5"/>
      <c r="I24" s="5"/>
      <c r="J24" s="5"/>
      <c r="K24" s="5"/>
      <c r="L24" s="5"/>
      <c r="M24" s="5"/>
      <c r="N24" s="5"/>
      <c r="O24" s="10">
        <f t="shared" si="0"/>
        <v>164633</v>
      </c>
    </row>
    <row r="25" spans="1:15" x14ac:dyDescent="0.35">
      <c r="A25" s="2">
        <v>24</v>
      </c>
      <c r="B25" s="2" t="s">
        <v>123</v>
      </c>
      <c r="C25" s="5">
        <v>33862</v>
      </c>
      <c r="D25" s="5">
        <v>23092</v>
      </c>
      <c r="E25" s="5">
        <v>31425</v>
      </c>
      <c r="F25" s="5">
        <v>25825</v>
      </c>
      <c r="G25" s="5">
        <v>21829</v>
      </c>
      <c r="H25" s="5"/>
      <c r="I25" s="5"/>
      <c r="J25" s="5"/>
      <c r="K25" s="5"/>
      <c r="L25" s="5"/>
      <c r="M25" s="5"/>
      <c r="N25" s="5"/>
      <c r="O25" s="10">
        <f t="shared" si="0"/>
        <v>136033</v>
      </c>
    </row>
    <row r="26" spans="1:15" x14ac:dyDescent="0.35">
      <c r="A26" s="2">
        <v>25</v>
      </c>
      <c r="B26" s="2" t="s">
        <v>124</v>
      </c>
      <c r="C26" s="5">
        <v>11400</v>
      </c>
      <c r="D26" s="5">
        <v>32044</v>
      </c>
      <c r="E26" s="5">
        <v>46338</v>
      </c>
      <c r="F26" s="5">
        <v>15642</v>
      </c>
      <c r="G26" s="5">
        <v>22461</v>
      </c>
      <c r="H26" s="5"/>
      <c r="I26" s="5"/>
      <c r="J26" s="5"/>
      <c r="K26" s="5"/>
      <c r="L26" s="5"/>
      <c r="M26" s="5"/>
      <c r="N26" s="5"/>
      <c r="O26" s="10">
        <f t="shared" si="0"/>
        <v>127885</v>
      </c>
    </row>
    <row r="27" spans="1:15" x14ac:dyDescent="0.35">
      <c r="A27" s="2">
        <v>26</v>
      </c>
      <c r="B27" s="2" t="s">
        <v>125</v>
      </c>
      <c r="C27" s="5">
        <v>3875</v>
      </c>
      <c r="D27" s="5">
        <v>0</v>
      </c>
      <c r="E27" s="5">
        <v>0</v>
      </c>
      <c r="F27" s="5">
        <v>0</v>
      </c>
      <c r="G27" s="5">
        <v>0</v>
      </c>
      <c r="H27" s="5"/>
      <c r="I27" s="5"/>
      <c r="J27" s="5"/>
      <c r="K27" s="5"/>
      <c r="L27" s="5"/>
      <c r="M27" s="5"/>
      <c r="N27" s="5"/>
      <c r="O27" s="10">
        <f t="shared" si="0"/>
        <v>3875</v>
      </c>
    </row>
    <row r="28" spans="1:15" x14ac:dyDescent="0.35">
      <c r="A28" s="2">
        <v>27</v>
      </c>
      <c r="B28" s="2" t="s">
        <v>126</v>
      </c>
      <c r="C28" s="5">
        <v>13917</v>
      </c>
      <c r="D28" s="5">
        <v>0</v>
      </c>
      <c r="E28" s="5">
        <v>20783</v>
      </c>
      <c r="F28" s="5">
        <v>9158</v>
      </c>
      <c r="G28" s="5">
        <v>0</v>
      </c>
      <c r="H28" s="5"/>
      <c r="I28" s="5"/>
      <c r="J28" s="5"/>
      <c r="K28" s="5"/>
      <c r="L28" s="5"/>
      <c r="M28" s="5"/>
      <c r="N28" s="5"/>
      <c r="O28" s="10">
        <f t="shared" si="0"/>
        <v>43858</v>
      </c>
    </row>
    <row r="29" spans="1:15" x14ac:dyDescent="0.35">
      <c r="A29" s="2">
        <v>28</v>
      </c>
      <c r="B29" s="2" t="s">
        <v>127</v>
      </c>
      <c r="C29" s="5">
        <v>0</v>
      </c>
      <c r="D29" s="5">
        <v>20250</v>
      </c>
      <c r="E29" s="5">
        <v>0</v>
      </c>
      <c r="F29" s="5">
        <v>0</v>
      </c>
      <c r="G29" s="5">
        <v>0</v>
      </c>
      <c r="H29" s="5"/>
      <c r="I29" s="5"/>
      <c r="J29" s="5"/>
      <c r="K29" s="5"/>
      <c r="L29" s="5"/>
      <c r="M29" s="5"/>
      <c r="N29" s="5"/>
      <c r="O29" s="10">
        <f t="shared" si="0"/>
        <v>20250</v>
      </c>
    </row>
    <row r="30" spans="1:15" x14ac:dyDescent="0.35">
      <c r="A30" s="2">
        <v>29</v>
      </c>
      <c r="B30" s="2" t="s">
        <v>128</v>
      </c>
      <c r="C30" s="5">
        <v>9000</v>
      </c>
      <c r="D30" s="5">
        <v>15775</v>
      </c>
      <c r="E30" s="5">
        <v>0</v>
      </c>
      <c r="F30" s="5">
        <v>7400</v>
      </c>
      <c r="G30" s="5">
        <v>5875</v>
      </c>
      <c r="H30" s="5"/>
      <c r="I30" s="5"/>
      <c r="J30" s="5"/>
      <c r="K30" s="5"/>
      <c r="L30" s="5"/>
      <c r="M30" s="5"/>
      <c r="N30" s="5"/>
      <c r="O30" s="10">
        <f t="shared" si="0"/>
        <v>38050</v>
      </c>
    </row>
    <row r="31" spans="1:15" x14ac:dyDescent="0.35">
      <c r="A31" s="2">
        <v>30</v>
      </c>
      <c r="B31" s="2" t="s">
        <v>129</v>
      </c>
      <c r="C31" s="5">
        <v>33125</v>
      </c>
      <c r="D31" s="5">
        <v>0</v>
      </c>
      <c r="E31" s="5">
        <v>0</v>
      </c>
      <c r="F31" s="5">
        <v>0</v>
      </c>
      <c r="G31" s="5">
        <v>0</v>
      </c>
      <c r="H31" s="5"/>
      <c r="I31" s="5"/>
      <c r="J31" s="5"/>
      <c r="K31" s="5"/>
      <c r="L31" s="5"/>
      <c r="M31" s="5"/>
      <c r="N31" s="5"/>
      <c r="O31" s="10">
        <f t="shared" si="0"/>
        <v>33125</v>
      </c>
    </row>
    <row r="32" spans="1:15" x14ac:dyDescent="0.35">
      <c r="A32" s="2">
        <v>31</v>
      </c>
      <c r="B32" s="2" t="s">
        <v>130</v>
      </c>
      <c r="C32" s="5">
        <v>12721</v>
      </c>
      <c r="D32" s="5">
        <v>0</v>
      </c>
      <c r="E32" s="5">
        <v>17922</v>
      </c>
      <c r="F32" s="5">
        <v>12622</v>
      </c>
      <c r="G32" s="5">
        <v>13194</v>
      </c>
      <c r="H32" s="5"/>
      <c r="I32" s="5"/>
      <c r="J32" s="5"/>
      <c r="K32" s="5"/>
      <c r="L32" s="5"/>
      <c r="M32" s="5"/>
      <c r="N32" s="5"/>
      <c r="O32" s="10">
        <f t="shared" si="0"/>
        <v>56459</v>
      </c>
    </row>
    <row r="33" spans="1:15" x14ac:dyDescent="0.35">
      <c r="A33" s="2">
        <v>32</v>
      </c>
      <c r="B33" s="2" t="s">
        <v>131</v>
      </c>
      <c r="C33" s="5">
        <v>0</v>
      </c>
      <c r="D33" s="5">
        <v>19088</v>
      </c>
      <c r="E33" s="5">
        <v>0</v>
      </c>
      <c r="F33" s="5">
        <v>0</v>
      </c>
      <c r="G33" s="5">
        <v>0</v>
      </c>
      <c r="H33" s="5"/>
      <c r="I33" s="5"/>
      <c r="J33" s="5"/>
      <c r="K33" s="5"/>
      <c r="L33" s="5"/>
      <c r="M33" s="5"/>
      <c r="N33" s="5"/>
      <c r="O33" s="10">
        <f t="shared" si="0"/>
        <v>19088</v>
      </c>
    </row>
    <row r="34" spans="1:15" x14ac:dyDescent="0.35">
      <c r="A34" s="2">
        <v>33</v>
      </c>
      <c r="B34" s="2" t="s">
        <v>132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/>
      <c r="I34" s="5"/>
      <c r="J34" s="5"/>
      <c r="K34" s="5"/>
      <c r="L34" s="5"/>
      <c r="M34" s="5"/>
      <c r="N34" s="5"/>
      <c r="O34" s="10">
        <f t="shared" si="0"/>
        <v>0</v>
      </c>
    </row>
    <row r="35" spans="1:15" x14ac:dyDescent="0.35">
      <c r="A35" s="2">
        <v>34</v>
      </c>
      <c r="B35" s="2" t="s">
        <v>133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/>
      <c r="I35" s="5"/>
      <c r="J35" s="5"/>
      <c r="K35" s="5"/>
      <c r="L35" s="5"/>
      <c r="M35" s="5"/>
      <c r="N35" s="5"/>
      <c r="O35" s="10">
        <f t="shared" si="0"/>
        <v>0</v>
      </c>
    </row>
    <row r="36" spans="1:15" x14ac:dyDescent="0.35">
      <c r="A36" s="2">
        <v>35</v>
      </c>
      <c r="B36" s="2" t="s">
        <v>134</v>
      </c>
      <c r="C36" s="5">
        <v>191785</v>
      </c>
      <c r="D36" s="5">
        <v>119370</v>
      </c>
      <c r="E36" s="5">
        <v>130047</v>
      </c>
      <c r="F36" s="5">
        <v>137072</v>
      </c>
      <c r="G36" s="5">
        <v>39120</v>
      </c>
      <c r="H36" s="5"/>
      <c r="I36" s="5"/>
      <c r="J36" s="5"/>
      <c r="K36" s="5"/>
      <c r="L36" s="5"/>
      <c r="M36" s="5"/>
      <c r="N36" s="5"/>
      <c r="O36" s="10">
        <f t="shared" si="0"/>
        <v>617394</v>
      </c>
    </row>
    <row r="37" spans="1:15" x14ac:dyDescent="0.35">
      <c r="A37" s="2">
        <v>36</v>
      </c>
      <c r="B37" s="2" t="s">
        <v>135</v>
      </c>
      <c r="C37" s="5">
        <v>365000</v>
      </c>
      <c r="D37" s="5">
        <v>0</v>
      </c>
      <c r="E37" s="5">
        <v>0</v>
      </c>
      <c r="F37" s="5">
        <v>394200</v>
      </c>
      <c r="G37" s="5">
        <v>479610</v>
      </c>
      <c r="H37" s="5"/>
      <c r="I37" s="5"/>
      <c r="J37" s="5"/>
      <c r="K37" s="5"/>
      <c r="L37" s="5"/>
      <c r="M37" s="5"/>
      <c r="N37" s="5"/>
      <c r="O37" s="10">
        <f t="shared" si="0"/>
        <v>1238810</v>
      </c>
    </row>
    <row r="38" spans="1:15" x14ac:dyDescent="0.35">
      <c r="A38" s="2">
        <v>37</v>
      </c>
      <c r="B38" s="2" t="s">
        <v>136</v>
      </c>
      <c r="C38" s="5">
        <v>42340</v>
      </c>
      <c r="D38" s="5">
        <v>43283</v>
      </c>
      <c r="E38" s="5">
        <v>27674</v>
      </c>
      <c r="F38" s="5">
        <v>44032</v>
      </c>
      <c r="G38" s="5">
        <v>29426</v>
      </c>
      <c r="H38" s="5"/>
      <c r="I38" s="5"/>
      <c r="J38" s="5"/>
      <c r="K38" s="5"/>
      <c r="L38" s="5"/>
      <c r="M38" s="5"/>
      <c r="N38" s="5"/>
      <c r="O38" s="10">
        <f t="shared" si="0"/>
        <v>186755</v>
      </c>
    </row>
    <row r="39" spans="1:15" x14ac:dyDescent="0.35">
      <c r="A39" s="2">
        <v>38</v>
      </c>
      <c r="B39" s="2" t="s">
        <v>137</v>
      </c>
      <c r="C39" s="5">
        <v>0</v>
      </c>
      <c r="D39" s="5">
        <v>20700</v>
      </c>
      <c r="E39" s="5">
        <v>0</v>
      </c>
      <c r="F39" s="5">
        <v>10325</v>
      </c>
      <c r="G39" s="5">
        <v>0</v>
      </c>
      <c r="H39" s="5"/>
      <c r="I39" s="5"/>
      <c r="J39" s="5"/>
      <c r="K39" s="5"/>
      <c r="L39" s="5"/>
      <c r="M39" s="5"/>
      <c r="N39" s="5"/>
      <c r="O39" s="10">
        <f t="shared" si="0"/>
        <v>31025</v>
      </c>
    </row>
    <row r="40" spans="1:15" x14ac:dyDescent="0.35">
      <c r="A40" s="2">
        <v>39</v>
      </c>
      <c r="B40" s="2" t="s">
        <v>138</v>
      </c>
      <c r="C40" s="5">
        <v>7375</v>
      </c>
      <c r="D40" s="5">
        <v>0</v>
      </c>
      <c r="E40" s="5">
        <v>5000</v>
      </c>
      <c r="F40" s="5">
        <v>4125</v>
      </c>
      <c r="G40" s="5">
        <v>15927</v>
      </c>
      <c r="H40" s="5"/>
      <c r="I40" s="5"/>
      <c r="J40" s="5"/>
      <c r="K40" s="5"/>
      <c r="L40" s="5"/>
      <c r="M40" s="5"/>
      <c r="N40" s="5"/>
      <c r="O40" s="10">
        <f t="shared" si="0"/>
        <v>32427</v>
      </c>
    </row>
    <row r="41" spans="1:15" x14ac:dyDescent="0.35">
      <c r="A41" s="2">
        <v>40</v>
      </c>
      <c r="B41" s="2" t="s">
        <v>139</v>
      </c>
      <c r="C41" s="5">
        <v>0</v>
      </c>
      <c r="D41" s="5">
        <v>8550</v>
      </c>
      <c r="E41" s="5">
        <v>21878</v>
      </c>
      <c r="F41" s="5">
        <v>38343</v>
      </c>
      <c r="G41" s="5">
        <v>13762</v>
      </c>
      <c r="H41" s="5"/>
      <c r="I41" s="5"/>
      <c r="J41" s="5"/>
      <c r="K41" s="5"/>
      <c r="L41" s="5"/>
      <c r="M41" s="5"/>
      <c r="N41" s="5"/>
      <c r="O41" s="10">
        <f t="shared" si="0"/>
        <v>82533</v>
      </c>
    </row>
    <row r="42" spans="1:15" x14ac:dyDescent="0.35">
      <c r="A42" s="2">
        <v>41</v>
      </c>
      <c r="B42" s="2" t="s">
        <v>140</v>
      </c>
      <c r="C42" s="5">
        <v>36972</v>
      </c>
      <c r="D42" s="5">
        <v>72561</v>
      </c>
      <c r="E42" s="5">
        <v>74541</v>
      </c>
      <c r="F42" s="5">
        <v>63237</v>
      </c>
      <c r="G42" s="5">
        <v>42853</v>
      </c>
      <c r="H42" s="5"/>
      <c r="I42" s="5"/>
      <c r="J42" s="5"/>
      <c r="K42" s="5"/>
      <c r="L42" s="5"/>
      <c r="M42" s="5"/>
      <c r="N42" s="5"/>
      <c r="O42" s="10">
        <f t="shared" si="0"/>
        <v>290164</v>
      </c>
    </row>
    <row r="43" spans="1:15" x14ac:dyDescent="0.35">
      <c r="A43" s="2">
        <v>42</v>
      </c>
      <c r="B43" s="2" t="s">
        <v>141</v>
      </c>
      <c r="C43" s="5">
        <v>89876</v>
      </c>
      <c r="D43" s="5">
        <v>79717</v>
      </c>
      <c r="E43" s="5">
        <v>60846</v>
      </c>
      <c r="F43" s="5">
        <v>74808</v>
      </c>
      <c r="G43" s="5">
        <v>77104</v>
      </c>
      <c r="H43" s="5"/>
      <c r="I43" s="5"/>
      <c r="J43" s="5"/>
      <c r="K43" s="5"/>
      <c r="L43" s="5"/>
      <c r="M43" s="5"/>
      <c r="N43" s="5"/>
      <c r="O43" s="10">
        <f t="shared" si="0"/>
        <v>382351</v>
      </c>
    </row>
    <row r="44" spans="1:15" x14ac:dyDescent="0.35">
      <c r="A44" s="2">
        <v>43</v>
      </c>
      <c r="B44" s="2" t="s">
        <v>143</v>
      </c>
      <c r="C44" s="5">
        <v>4500</v>
      </c>
      <c r="D44" s="5">
        <v>16562</v>
      </c>
      <c r="E44" s="5">
        <v>6225</v>
      </c>
      <c r="F44" s="5">
        <v>15975</v>
      </c>
      <c r="G44" s="5">
        <v>17404</v>
      </c>
      <c r="H44" s="5"/>
      <c r="I44" s="5"/>
      <c r="J44" s="5"/>
      <c r="K44" s="5"/>
      <c r="L44" s="5"/>
      <c r="M44" s="5"/>
      <c r="N44" s="5"/>
      <c r="O44" s="10">
        <f t="shared" si="0"/>
        <v>60666</v>
      </c>
    </row>
    <row r="45" spans="1:15" x14ac:dyDescent="0.35">
      <c r="A45" s="2">
        <v>44</v>
      </c>
      <c r="B45" s="2" t="s">
        <v>144</v>
      </c>
      <c r="C45" s="5">
        <v>94000</v>
      </c>
      <c r="D45" s="5">
        <v>140800</v>
      </c>
      <c r="E45" s="5">
        <v>158460</v>
      </c>
      <c r="F45" s="5">
        <v>135740</v>
      </c>
      <c r="G45" s="5">
        <v>162600</v>
      </c>
      <c r="H45" s="5"/>
      <c r="I45" s="5"/>
      <c r="J45" s="5"/>
      <c r="K45" s="5"/>
      <c r="L45" s="5"/>
      <c r="M45" s="5"/>
      <c r="N45" s="5"/>
      <c r="O45" s="10">
        <f t="shared" si="0"/>
        <v>691600</v>
      </c>
    </row>
    <row r="46" spans="1:15" x14ac:dyDescent="0.35">
      <c r="A46" s="2">
        <v>45</v>
      </c>
      <c r="B46" s="2" t="s">
        <v>145</v>
      </c>
      <c r="C46" s="5">
        <v>25416</v>
      </c>
      <c r="D46" s="5">
        <v>26583</v>
      </c>
      <c r="E46" s="5">
        <v>46566</v>
      </c>
      <c r="F46" s="5">
        <v>82281</v>
      </c>
      <c r="G46" s="5">
        <v>0</v>
      </c>
      <c r="H46" s="5"/>
      <c r="I46" s="5"/>
      <c r="J46" s="5"/>
      <c r="K46" s="5"/>
      <c r="L46" s="5"/>
      <c r="M46" s="5"/>
      <c r="N46" s="5"/>
      <c r="O46" s="10">
        <f t="shared" si="0"/>
        <v>180846</v>
      </c>
    </row>
    <row r="47" spans="1:15" x14ac:dyDescent="0.35">
      <c r="A47" s="2">
        <v>46</v>
      </c>
      <c r="B47" s="2" t="s">
        <v>146</v>
      </c>
      <c r="C47" s="5">
        <v>71210</v>
      </c>
      <c r="D47" s="5">
        <v>64780</v>
      </c>
      <c r="E47" s="5">
        <v>105215</v>
      </c>
      <c r="F47" s="5">
        <v>98880</v>
      </c>
      <c r="G47" s="5">
        <v>110218</v>
      </c>
      <c r="H47" s="5"/>
      <c r="I47" s="5"/>
      <c r="J47" s="5"/>
      <c r="K47" s="5"/>
      <c r="L47" s="5"/>
      <c r="M47" s="5"/>
      <c r="N47" s="5"/>
      <c r="O47" s="10">
        <f t="shared" si="0"/>
        <v>450303</v>
      </c>
    </row>
    <row r="48" spans="1:15" x14ac:dyDescent="0.35">
      <c r="A48" s="2">
        <v>47</v>
      </c>
      <c r="B48" s="2" t="s">
        <v>147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/>
      <c r="I48" s="5"/>
      <c r="J48" s="5"/>
      <c r="K48" s="5"/>
      <c r="L48" s="5"/>
      <c r="M48" s="5"/>
      <c r="N48" s="5"/>
      <c r="O48" s="10">
        <f t="shared" si="0"/>
        <v>0</v>
      </c>
    </row>
    <row r="49" spans="1:15" x14ac:dyDescent="0.35">
      <c r="A49" s="2">
        <v>48</v>
      </c>
      <c r="B49" s="2" t="s">
        <v>148</v>
      </c>
      <c r="C49" s="5">
        <v>7867</v>
      </c>
      <c r="D49" s="5">
        <v>11308</v>
      </c>
      <c r="E49" s="5">
        <v>10650</v>
      </c>
      <c r="F49" s="5">
        <v>11150</v>
      </c>
      <c r="G49" s="5">
        <v>18717</v>
      </c>
      <c r="H49" s="5"/>
      <c r="I49" s="5"/>
      <c r="J49" s="5"/>
      <c r="K49" s="5"/>
      <c r="L49" s="5"/>
      <c r="M49" s="5"/>
      <c r="N49" s="5"/>
      <c r="O49" s="10">
        <f t="shared" si="0"/>
        <v>59692</v>
      </c>
    </row>
    <row r="50" spans="1:15" x14ac:dyDescent="0.35">
      <c r="A50" s="2">
        <v>49</v>
      </c>
      <c r="B50" s="2" t="s">
        <v>149</v>
      </c>
      <c r="C50" s="5">
        <v>50434</v>
      </c>
      <c r="D50" s="5">
        <v>42413</v>
      </c>
      <c r="E50" s="5">
        <v>33121</v>
      </c>
      <c r="F50" s="5">
        <v>59665</v>
      </c>
      <c r="G50" s="5">
        <v>41468</v>
      </c>
      <c r="H50" s="5"/>
      <c r="I50" s="5"/>
      <c r="J50" s="5"/>
      <c r="K50" s="5"/>
      <c r="L50" s="5"/>
      <c r="M50" s="5"/>
      <c r="N50" s="5"/>
      <c r="O50" s="10">
        <f t="shared" si="0"/>
        <v>227101</v>
      </c>
    </row>
    <row r="51" spans="1:15" x14ac:dyDescent="0.35">
      <c r="A51" s="2">
        <v>50</v>
      </c>
      <c r="B51" s="2" t="s">
        <v>188</v>
      </c>
      <c r="C51" s="5">
        <v>0</v>
      </c>
      <c r="D51" s="5">
        <v>0</v>
      </c>
      <c r="E51" s="5">
        <v>0</v>
      </c>
      <c r="F51" s="5">
        <v>28625</v>
      </c>
      <c r="G51" s="5">
        <v>69350</v>
      </c>
      <c r="H51" s="5"/>
      <c r="I51" s="5"/>
      <c r="J51" s="5"/>
      <c r="K51" s="5"/>
      <c r="L51" s="5"/>
      <c r="M51" s="5"/>
      <c r="N51" s="5"/>
      <c r="O51" s="10">
        <f t="shared" si="0"/>
        <v>97975</v>
      </c>
    </row>
    <row r="52" spans="1:15" x14ac:dyDescent="0.35">
      <c r="A52" s="2">
        <v>51</v>
      </c>
      <c r="B52" s="2" t="s">
        <v>151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/>
      <c r="I52" s="5"/>
      <c r="J52" s="5"/>
      <c r="K52" s="5"/>
      <c r="L52" s="5"/>
      <c r="M52" s="5"/>
      <c r="N52" s="5"/>
      <c r="O52" s="10">
        <f t="shared" si="0"/>
        <v>0</v>
      </c>
    </row>
    <row r="53" spans="1:15" x14ac:dyDescent="0.35">
      <c r="A53" s="2">
        <v>52</v>
      </c>
      <c r="B53" s="2" t="s">
        <v>153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/>
      <c r="I53" s="5"/>
      <c r="J53" s="5"/>
      <c r="K53" s="5"/>
      <c r="L53" s="5"/>
      <c r="M53" s="5"/>
      <c r="N53" s="5"/>
      <c r="O53" s="10">
        <f t="shared" ref="O53:O83" si="1">SUM(C53:N53)</f>
        <v>0</v>
      </c>
    </row>
    <row r="54" spans="1:15" x14ac:dyDescent="0.35">
      <c r="A54" s="2">
        <v>53</v>
      </c>
      <c r="B54" s="2" t="s">
        <v>268</v>
      </c>
      <c r="C54" s="5">
        <v>0</v>
      </c>
      <c r="D54" s="5">
        <v>0</v>
      </c>
      <c r="E54" s="5">
        <v>0</v>
      </c>
      <c r="F54" s="5">
        <v>0</v>
      </c>
      <c r="G54" s="5">
        <v>4949</v>
      </c>
      <c r="H54" s="5"/>
      <c r="I54" s="5"/>
      <c r="J54" s="5"/>
      <c r="K54" s="5"/>
      <c r="L54" s="5"/>
      <c r="M54" s="5"/>
      <c r="N54" s="5"/>
      <c r="O54" s="10">
        <f t="shared" si="1"/>
        <v>4949</v>
      </c>
    </row>
    <row r="55" spans="1:15" x14ac:dyDescent="0.35">
      <c r="A55" s="2">
        <v>54</v>
      </c>
      <c r="B55" s="2" t="s">
        <v>152</v>
      </c>
      <c r="C55" s="5">
        <v>193821</v>
      </c>
      <c r="D55" s="5">
        <v>180246</v>
      </c>
      <c r="E55" s="5">
        <v>270855</v>
      </c>
      <c r="F55" s="5">
        <v>141583</v>
      </c>
      <c r="G55" s="5">
        <v>158946</v>
      </c>
      <c r="H55" s="5"/>
      <c r="I55" s="5"/>
      <c r="J55" s="5"/>
      <c r="K55" s="5"/>
      <c r="L55" s="5"/>
      <c r="M55" s="5"/>
      <c r="N55" s="5"/>
      <c r="O55" s="10">
        <f t="shared" si="1"/>
        <v>945451</v>
      </c>
    </row>
    <row r="56" spans="1:15" x14ac:dyDescent="0.35">
      <c r="A56" s="2">
        <v>55</v>
      </c>
      <c r="B56" s="2" t="s">
        <v>154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/>
      <c r="I56" s="5"/>
      <c r="J56" s="5"/>
      <c r="K56" s="5"/>
      <c r="L56" s="5"/>
      <c r="M56" s="5"/>
      <c r="N56" s="5"/>
      <c r="O56" s="10">
        <f t="shared" si="1"/>
        <v>0</v>
      </c>
    </row>
    <row r="57" spans="1:15" x14ac:dyDescent="0.35">
      <c r="A57" s="2">
        <v>56</v>
      </c>
      <c r="B57" s="2" t="s">
        <v>155</v>
      </c>
      <c r="C57" s="5">
        <v>111690</v>
      </c>
      <c r="D57" s="5">
        <v>289080</v>
      </c>
      <c r="E57" s="5">
        <v>0</v>
      </c>
      <c r="F57" s="5">
        <v>722700</v>
      </c>
      <c r="G57" s="5">
        <v>0</v>
      </c>
      <c r="H57" s="5"/>
      <c r="I57" s="5"/>
      <c r="J57" s="5"/>
      <c r="K57" s="5"/>
      <c r="L57" s="5"/>
      <c r="M57" s="5"/>
      <c r="N57" s="5"/>
      <c r="O57" s="10">
        <f t="shared" si="1"/>
        <v>1123470</v>
      </c>
    </row>
    <row r="58" spans="1:15" x14ac:dyDescent="0.35">
      <c r="A58" s="2">
        <v>57</v>
      </c>
      <c r="B58" s="2" t="s">
        <v>160</v>
      </c>
      <c r="C58" s="5">
        <v>7727</v>
      </c>
      <c r="D58" s="5">
        <v>0</v>
      </c>
      <c r="E58" s="5">
        <v>9618</v>
      </c>
      <c r="F58" s="5">
        <v>0</v>
      </c>
      <c r="G58" s="5">
        <v>0</v>
      </c>
      <c r="H58" s="5"/>
      <c r="I58" s="5"/>
      <c r="J58" s="5"/>
      <c r="K58" s="5"/>
      <c r="L58" s="5"/>
      <c r="M58" s="5"/>
      <c r="N58" s="5"/>
      <c r="O58" s="10">
        <f t="shared" si="1"/>
        <v>17345</v>
      </c>
    </row>
    <row r="59" spans="1:15" x14ac:dyDescent="0.35">
      <c r="A59" s="2">
        <v>58</v>
      </c>
      <c r="B59" s="2" t="s">
        <v>161</v>
      </c>
      <c r="C59" s="5">
        <v>58079</v>
      </c>
      <c r="D59" s="5">
        <v>30255</v>
      </c>
      <c r="E59" s="5">
        <v>7925</v>
      </c>
      <c r="F59" s="5">
        <v>70642</v>
      </c>
      <c r="G59" s="5">
        <v>7408</v>
      </c>
      <c r="H59" s="5"/>
      <c r="I59" s="5"/>
      <c r="J59" s="5"/>
      <c r="K59" s="5"/>
      <c r="L59" s="5"/>
      <c r="M59" s="5"/>
      <c r="N59" s="5"/>
      <c r="O59" s="10">
        <f t="shared" si="1"/>
        <v>174309</v>
      </c>
    </row>
    <row r="60" spans="1:15" x14ac:dyDescent="0.35">
      <c r="A60" s="2">
        <v>59</v>
      </c>
      <c r="B60" s="2" t="s">
        <v>237</v>
      </c>
      <c r="C60" s="5">
        <v>0</v>
      </c>
      <c r="D60" s="5">
        <v>29750</v>
      </c>
      <c r="E60" s="5">
        <v>0</v>
      </c>
      <c r="F60" s="5">
        <v>0</v>
      </c>
      <c r="G60" s="5">
        <v>39549</v>
      </c>
      <c r="H60" s="5"/>
      <c r="I60" s="5"/>
      <c r="J60" s="5"/>
      <c r="K60" s="5"/>
      <c r="L60" s="5"/>
      <c r="M60" s="5"/>
      <c r="N60" s="5"/>
      <c r="O60" s="10">
        <f t="shared" si="1"/>
        <v>69299</v>
      </c>
    </row>
    <row r="61" spans="1:15" x14ac:dyDescent="0.35">
      <c r="A61" s="2">
        <v>60</v>
      </c>
      <c r="B61" s="2" t="s">
        <v>162</v>
      </c>
      <c r="C61" s="5">
        <v>29883</v>
      </c>
      <c r="D61" s="5">
        <v>20819</v>
      </c>
      <c r="E61" s="5">
        <v>33221</v>
      </c>
      <c r="F61" s="5">
        <v>39892</v>
      </c>
      <c r="G61" s="5">
        <v>28650</v>
      </c>
      <c r="H61" s="5"/>
      <c r="I61" s="5"/>
      <c r="J61" s="5"/>
      <c r="K61" s="5"/>
      <c r="L61" s="5"/>
      <c r="M61" s="5"/>
      <c r="N61" s="5"/>
      <c r="O61" s="10">
        <f t="shared" si="1"/>
        <v>152465</v>
      </c>
    </row>
    <row r="62" spans="1:15" x14ac:dyDescent="0.35">
      <c r="A62" s="2">
        <v>61</v>
      </c>
      <c r="B62" s="2" t="s">
        <v>239</v>
      </c>
      <c r="C62" s="5">
        <v>32472</v>
      </c>
      <c r="D62" s="5">
        <v>33384</v>
      </c>
      <c r="E62" s="5">
        <v>31322</v>
      </c>
      <c r="F62" s="5">
        <v>35853</v>
      </c>
      <c r="G62" s="5">
        <v>31946</v>
      </c>
      <c r="H62" s="5"/>
      <c r="I62" s="5"/>
      <c r="J62" s="5"/>
      <c r="K62" s="5"/>
      <c r="L62" s="5"/>
      <c r="M62" s="5"/>
      <c r="N62" s="5"/>
      <c r="O62" s="10">
        <f t="shared" si="1"/>
        <v>164977</v>
      </c>
    </row>
    <row r="63" spans="1:15" x14ac:dyDescent="0.35">
      <c r="A63" s="2">
        <v>62</v>
      </c>
      <c r="B63" s="2" t="s">
        <v>163</v>
      </c>
      <c r="C63" s="5">
        <v>21625</v>
      </c>
      <c r="D63" s="5">
        <v>0</v>
      </c>
      <c r="E63" s="5">
        <v>0</v>
      </c>
      <c r="F63" s="5">
        <v>0</v>
      </c>
      <c r="G63" s="5">
        <v>18300</v>
      </c>
      <c r="H63" s="5"/>
      <c r="I63" s="5"/>
      <c r="J63" s="5"/>
      <c r="K63" s="5"/>
      <c r="L63" s="5"/>
      <c r="M63" s="5"/>
      <c r="N63" s="5"/>
      <c r="O63" s="10">
        <f t="shared" si="1"/>
        <v>39925</v>
      </c>
    </row>
    <row r="64" spans="1:15" x14ac:dyDescent="0.35">
      <c r="A64" s="2">
        <v>63</v>
      </c>
      <c r="B64" s="2" t="s">
        <v>164</v>
      </c>
      <c r="C64" s="5">
        <v>46002</v>
      </c>
      <c r="D64" s="5">
        <v>60311</v>
      </c>
      <c r="E64" s="5">
        <v>54444</v>
      </c>
      <c r="F64" s="5">
        <v>70227</v>
      </c>
      <c r="G64" s="5">
        <v>46582</v>
      </c>
      <c r="H64" s="5"/>
      <c r="I64" s="5"/>
      <c r="J64" s="5"/>
      <c r="K64" s="5"/>
      <c r="L64" s="5"/>
      <c r="M64" s="5"/>
      <c r="N64" s="5"/>
      <c r="O64" s="10">
        <f t="shared" si="1"/>
        <v>277566</v>
      </c>
    </row>
    <row r="65" spans="1:15" x14ac:dyDescent="0.35">
      <c r="A65" s="2">
        <v>64</v>
      </c>
      <c r="B65" s="2" t="s">
        <v>346</v>
      </c>
      <c r="C65" s="5">
        <v>0</v>
      </c>
      <c r="D65" s="5">
        <v>0</v>
      </c>
      <c r="E65" s="5">
        <v>0</v>
      </c>
      <c r="F65" s="5">
        <v>0</v>
      </c>
      <c r="G65" s="5">
        <v>40989</v>
      </c>
      <c r="H65" s="5"/>
      <c r="I65" s="5"/>
      <c r="J65" s="5"/>
      <c r="K65" s="5"/>
      <c r="L65" s="5"/>
      <c r="M65" s="5"/>
      <c r="N65" s="5"/>
      <c r="O65" s="10">
        <f t="shared" si="1"/>
        <v>40989</v>
      </c>
    </row>
    <row r="66" spans="1:15" x14ac:dyDescent="0.35">
      <c r="A66" s="2">
        <v>65</v>
      </c>
      <c r="B66" s="2" t="s">
        <v>165</v>
      </c>
      <c r="C66" s="5">
        <v>66050</v>
      </c>
      <c r="D66" s="5">
        <v>73850</v>
      </c>
      <c r="E66" s="5">
        <v>120350</v>
      </c>
      <c r="F66" s="5">
        <v>106005</v>
      </c>
      <c r="G66" s="5">
        <v>59500</v>
      </c>
      <c r="H66" s="5"/>
      <c r="I66" s="5"/>
      <c r="J66" s="5"/>
      <c r="K66" s="5"/>
      <c r="L66" s="5"/>
      <c r="M66" s="5"/>
      <c r="N66" s="5"/>
      <c r="O66" s="10">
        <f t="shared" si="1"/>
        <v>425755</v>
      </c>
    </row>
    <row r="67" spans="1:15" x14ac:dyDescent="0.35">
      <c r="A67" s="2">
        <v>66</v>
      </c>
      <c r="B67" s="2" t="s">
        <v>166</v>
      </c>
      <c r="C67" s="5">
        <v>25524</v>
      </c>
      <c r="D67" s="5">
        <v>0</v>
      </c>
      <c r="E67" s="5">
        <v>33824</v>
      </c>
      <c r="F67" s="5">
        <v>0</v>
      </c>
      <c r="G67" s="5">
        <v>0</v>
      </c>
      <c r="H67" s="5"/>
      <c r="I67" s="5"/>
      <c r="J67" s="5"/>
      <c r="K67" s="5"/>
      <c r="L67" s="5"/>
      <c r="M67" s="5"/>
      <c r="N67" s="5"/>
      <c r="O67" s="10">
        <f t="shared" si="1"/>
        <v>59348</v>
      </c>
    </row>
    <row r="68" spans="1:15" x14ac:dyDescent="0.35">
      <c r="A68" s="2">
        <v>67</v>
      </c>
      <c r="B68" s="2" t="s">
        <v>167</v>
      </c>
      <c r="C68" s="5">
        <v>113175</v>
      </c>
      <c r="D68" s="5">
        <v>53395</v>
      </c>
      <c r="E68" s="5">
        <v>51745</v>
      </c>
      <c r="F68" s="5">
        <v>90497</v>
      </c>
      <c r="G68" s="5">
        <v>30075</v>
      </c>
      <c r="H68" s="5"/>
      <c r="I68" s="5"/>
      <c r="J68" s="5"/>
      <c r="K68" s="5"/>
      <c r="L68" s="5"/>
      <c r="M68" s="5"/>
      <c r="N68" s="5"/>
      <c r="O68" s="10">
        <f t="shared" si="1"/>
        <v>338887</v>
      </c>
    </row>
    <row r="69" spans="1:15" x14ac:dyDescent="0.35">
      <c r="A69" s="2">
        <v>68</v>
      </c>
      <c r="B69" s="2" t="s">
        <v>168</v>
      </c>
      <c r="C69" s="5">
        <v>154884</v>
      </c>
      <c r="D69" s="5">
        <v>91992</v>
      </c>
      <c r="E69" s="5">
        <v>144429</v>
      </c>
      <c r="F69" s="5">
        <v>108104</v>
      </c>
      <c r="G69" s="5">
        <v>122610</v>
      </c>
      <c r="H69" s="5"/>
      <c r="I69" s="5"/>
      <c r="J69" s="5"/>
      <c r="K69" s="5"/>
      <c r="L69" s="5"/>
      <c r="M69" s="5"/>
      <c r="N69" s="5"/>
      <c r="O69" s="10">
        <f t="shared" si="1"/>
        <v>622019</v>
      </c>
    </row>
    <row r="70" spans="1:15" x14ac:dyDescent="0.35">
      <c r="A70" s="2">
        <v>69</v>
      </c>
      <c r="B70" s="2" t="s">
        <v>169</v>
      </c>
      <c r="C70" s="5">
        <v>107773</v>
      </c>
      <c r="D70" s="5">
        <v>49061</v>
      </c>
      <c r="E70" s="5">
        <v>49630</v>
      </c>
      <c r="F70" s="5">
        <v>21655</v>
      </c>
      <c r="G70" s="5">
        <v>0</v>
      </c>
      <c r="H70" s="5"/>
      <c r="I70" s="5"/>
      <c r="J70" s="5"/>
      <c r="K70" s="5"/>
      <c r="L70" s="5"/>
      <c r="M70" s="5"/>
      <c r="N70" s="5"/>
      <c r="O70" s="10">
        <f t="shared" si="1"/>
        <v>228119</v>
      </c>
    </row>
    <row r="71" spans="1:15" x14ac:dyDescent="0.35">
      <c r="A71" s="2">
        <v>70</v>
      </c>
      <c r="B71" s="2" t="s">
        <v>170</v>
      </c>
      <c r="C71" s="5">
        <v>29225</v>
      </c>
      <c r="D71" s="5">
        <v>0</v>
      </c>
      <c r="E71" s="5">
        <v>16125</v>
      </c>
      <c r="F71" s="5">
        <v>31824</v>
      </c>
      <c r="G71" s="5">
        <v>23500</v>
      </c>
      <c r="H71" s="5"/>
      <c r="I71" s="5"/>
      <c r="J71" s="5"/>
      <c r="K71" s="5"/>
      <c r="L71" s="5"/>
      <c r="M71" s="5"/>
      <c r="N71" s="5"/>
      <c r="O71" s="10">
        <f t="shared" si="1"/>
        <v>100674</v>
      </c>
    </row>
    <row r="72" spans="1:15" x14ac:dyDescent="0.35">
      <c r="A72" s="2">
        <v>71</v>
      </c>
      <c r="B72" s="2" t="s">
        <v>171</v>
      </c>
      <c r="C72" s="5">
        <v>8918</v>
      </c>
      <c r="D72" s="5">
        <v>17088</v>
      </c>
      <c r="E72" s="5">
        <v>6800</v>
      </c>
      <c r="F72" s="5">
        <v>11153</v>
      </c>
      <c r="G72" s="5">
        <v>2545</v>
      </c>
      <c r="H72" s="5"/>
      <c r="I72" s="5"/>
      <c r="J72" s="5"/>
      <c r="K72" s="5"/>
      <c r="L72" s="5"/>
      <c r="M72" s="5"/>
      <c r="N72" s="5"/>
      <c r="O72" s="10">
        <f t="shared" si="1"/>
        <v>46504</v>
      </c>
    </row>
    <row r="73" spans="1:15" x14ac:dyDescent="0.35">
      <c r="A73" s="2">
        <v>72</v>
      </c>
      <c r="B73" s="2" t="s">
        <v>172</v>
      </c>
      <c r="C73" s="5">
        <v>27341</v>
      </c>
      <c r="D73" s="5">
        <v>0</v>
      </c>
      <c r="E73" s="5">
        <v>34419</v>
      </c>
      <c r="F73" s="5">
        <v>0</v>
      </c>
      <c r="G73" s="5">
        <v>52472</v>
      </c>
      <c r="H73" s="5"/>
      <c r="I73" s="5"/>
      <c r="J73" s="5"/>
      <c r="K73" s="5"/>
      <c r="L73" s="5"/>
      <c r="M73" s="5"/>
      <c r="N73" s="5"/>
      <c r="O73" s="10">
        <f t="shared" si="1"/>
        <v>114232</v>
      </c>
    </row>
    <row r="74" spans="1:15" x14ac:dyDescent="0.35">
      <c r="A74" s="2">
        <v>73</v>
      </c>
      <c r="B74" s="2" t="s">
        <v>173</v>
      </c>
      <c r="C74" s="5">
        <v>18058</v>
      </c>
      <c r="D74" s="5">
        <v>0</v>
      </c>
      <c r="E74" s="5">
        <v>19000</v>
      </c>
      <c r="F74" s="5">
        <v>8150</v>
      </c>
      <c r="G74" s="5">
        <v>10725</v>
      </c>
      <c r="H74" s="5"/>
      <c r="I74" s="5"/>
      <c r="J74" s="5"/>
      <c r="K74" s="5"/>
      <c r="L74" s="5"/>
      <c r="M74" s="5"/>
      <c r="N74" s="5"/>
      <c r="O74" s="10">
        <f t="shared" si="1"/>
        <v>55933</v>
      </c>
    </row>
    <row r="75" spans="1:15" x14ac:dyDescent="0.35">
      <c r="A75" s="2">
        <v>74</v>
      </c>
      <c r="B75" s="2" t="s">
        <v>174</v>
      </c>
      <c r="C75" s="5">
        <v>0</v>
      </c>
      <c r="D75" s="5">
        <v>0</v>
      </c>
      <c r="E75" s="5">
        <v>0</v>
      </c>
      <c r="F75" s="5">
        <v>0</v>
      </c>
      <c r="G75" s="5">
        <v>32249</v>
      </c>
      <c r="H75" s="5"/>
      <c r="I75" s="5"/>
      <c r="J75" s="5"/>
      <c r="K75" s="5"/>
      <c r="L75" s="5"/>
      <c r="M75" s="5"/>
      <c r="N75" s="5"/>
      <c r="O75" s="10">
        <f t="shared" si="1"/>
        <v>32249</v>
      </c>
    </row>
    <row r="76" spans="1:15" x14ac:dyDescent="0.35">
      <c r="A76" s="2">
        <v>75</v>
      </c>
      <c r="B76" s="2" t="s">
        <v>175</v>
      </c>
      <c r="C76" s="5">
        <v>20000</v>
      </c>
      <c r="D76" s="5">
        <v>88026</v>
      </c>
      <c r="E76" s="5">
        <v>0</v>
      </c>
      <c r="F76" s="5">
        <v>0</v>
      </c>
      <c r="G76" s="5">
        <v>8000</v>
      </c>
      <c r="H76" s="5"/>
      <c r="I76" s="5"/>
      <c r="J76" s="5"/>
      <c r="K76" s="5"/>
      <c r="L76" s="5"/>
      <c r="M76" s="5"/>
      <c r="N76" s="5"/>
      <c r="O76" s="10">
        <f t="shared" si="1"/>
        <v>116026</v>
      </c>
    </row>
    <row r="77" spans="1:15" x14ac:dyDescent="0.35">
      <c r="A77" s="2">
        <v>76</v>
      </c>
      <c r="B77" s="2" t="s">
        <v>176</v>
      </c>
      <c r="C77" s="5">
        <v>2680</v>
      </c>
      <c r="D77" s="5">
        <v>0</v>
      </c>
      <c r="E77" s="5">
        <v>0</v>
      </c>
      <c r="F77" s="5">
        <v>0</v>
      </c>
      <c r="G77" s="5">
        <v>0</v>
      </c>
      <c r="H77" s="5"/>
      <c r="I77" s="5"/>
      <c r="J77" s="5"/>
      <c r="K77" s="5"/>
      <c r="L77" s="5"/>
      <c r="M77" s="5"/>
      <c r="N77" s="5"/>
      <c r="O77" s="10">
        <f t="shared" si="1"/>
        <v>2680</v>
      </c>
    </row>
    <row r="78" spans="1:15" x14ac:dyDescent="0.35">
      <c r="A78" s="2">
        <v>77</v>
      </c>
      <c r="B78" s="2" t="s">
        <v>179</v>
      </c>
      <c r="C78" s="5">
        <v>50010</v>
      </c>
      <c r="D78" s="5">
        <v>35220</v>
      </c>
      <c r="E78" s="5">
        <v>152540</v>
      </c>
      <c r="F78" s="5">
        <v>131742</v>
      </c>
      <c r="G78" s="5">
        <v>59940</v>
      </c>
      <c r="H78" s="5"/>
      <c r="I78" s="5"/>
      <c r="J78" s="5"/>
      <c r="K78" s="5"/>
      <c r="L78" s="5"/>
      <c r="M78" s="5"/>
      <c r="N78" s="5"/>
      <c r="O78" s="10">
        <f t="shared" si="1"/>
        <v>429452</v>
      </c>
    </row>
    <row r="79" spans="1:15" x14ac:dyDescent="0.35">
      <c r="A79" s="2">
        <v>78</v>
      </c>
      <c r="B79" s="2" t="s">
        <v>177</v>
      </c>
      <c r="C79" s="5">
        <v>1487</v>
      </c>
      <c r="D79" s="5">
        <v>0</v>
      </c>
      <c r="E79" s="5">
        <v>0</v>
      </c>
      <c r="F79" s="5">
        <v>0</v>
      </c>
      <c r="G79" s="5">
        <v>0</v>
      </c>
      <c r="H79" s="5"/>
      <c r="I79" s="5"/>
      <c r="J79" s="5"/>
      <c r="K79" s="5"/>
      <c r="L79" s="5"/>
      <c r="M79" s="5"/>
      <c r="N79" s="5"/>
      <c r="O79" s="10">
        <f t="shared" si="1"/>
        <v>1487</v>
      </c>
    </row>
    <row r="80" spans="1:15" x14ac:dyDescent="0.35">
      <c r="A80" s="2">
        <v>79</v>
      </c>
      <c r="B80" s="2" t="s">
        <v>178</v>
      </c>
      <c r="C80" s="5">
        <v>25146</v>
      </c>
      <c r="D80" s="5">
        <v>26669</v>
      </c>
      <c r="E80" s="5">
        <v>10749</v>
      </c>
      <c r="F80" s="5">
        <v>33505</v>
      </c>
      <c r="G80" s="5">
        <v>25481</v>
      </c>
      <c r="H80" s="5"/>
      <c r="I80" s="5"/>
      <c r="J80" s="5"/>
      <c r="K80" s="5"/>
      <c r="L80" s="5"/>
      <c r="M80" s="5"/>
      <c r="N80" s="5"/>
      <c r="O80" s="10">
        <f t="shared" si="1"/>
        <v>121550</v>
      </c>
    </row>
    <row r="81" spans="1:15" x14ac:dyDescent="0.35">
      <c r="A81" s="2">
        <v>80</v>
      </c>
      <c r="B81" s="2" t="s">
        <v>181</v>
      </c>
      <c r="C81" s="5">
        <v>12475</v>
      </c>
      <c r="D81" s="5">
        <v>16620</v>
      </c>
      <c r="E81" s="5">
        <v>19657</v>
      </c>
      <c r="F81" s="5">
        <v>27736</v>
      </c>
      <c r="G81" s="5">
        <v>18412</v>
      </c>
      <c r="H81" s="5"/>
      <c r="I81" s="5"/>
      <c r="J81" s="5"/>
      <c r="K81" s="5"/>
      <c r="L81" s="5"/>
      <c r="M81" s="5"/>
      <c r="N81" s="5"/>
      <c r="O81" s="10">
        <f t="shared" si="1"/>
        <v>94900</v>
      </c>
    </row>
    <row r="82" spans="1:15" x14ac:dyDescent="0.35">
      <c r="A82" s="2">
        <v>81</v>
      </c>
      <c r="B82" s="2" t="s">
        <v>182</v>
      </c>
      <c r="C82" s="5">
        <v>179927</v>
      </c>
      <c r="D82" s="5">
        <v>202445</v>
      </c>
      <c r="E82" s="5">
        <v>179280</v>
      </c>
      <c r="F82" s="5">
        <v>254368</v>
      </c>
      <c r="G82" s="5">
        <v>191744</v>
      </c>
      <c r="H82" s="5"/>
      <c r="I82" s="5"/>
      <c r="J82" s="5"/>
      <c r="K82" s="5"/>
      <c r="L82" s="5"/>
      <c r="M82" s="5"/>
      <c r="N82" s="5"/>
      <c r="O82" s="10">
        <f t="shared" si="1"/>
        <v>1007764</v>
      </c>
    </row>
    <row r="83" spans="1:15" x14ac:dyDescent="0.35">
      <c r="A83" s="2">
        <v>82</v>
      </c>
      <c r="B83" s="2" t="s">
        <v>183</v>
      </c>
      <c r="C83" s="5">
        <v>0</v>
      </c>
      <c r="D83" s="5">
        <v>38823</v>
      </c>
      <c r="E83" s="5">
        <v>30540</v>
      </c>
      <c r="F83" s="5">
        <v>36500</v>
      </c>
      <c r="G83" s="5">
        <v>36500</v>
      </c>
      <c r="H83" s="5"/>
      <c r="I83" s="5"/>
      <c r="J83" s="5"/>
      <c r="K83" s="5"/>
      <c r="L83" s="5"/>
      <c r="M83" s="5"/>
      <c r="N83" s="5"/>
      <c r="O83" s="10">
        <f t="shared" si="1"/>
        <v>142363</v>
      </c>
    </row>
    <row r="84" spans="1:15" x14ac:dyDescent="0.35">
      <c r="A84" s="7"/>
      <c r="B84" s="7" t="s">
        <v>17</v>
      </c>
      <c r="C84" s="8">
        <f t="shared" ref="C84:O84" si="2">SUM(C3:C83)</f>
        <v>4242337</v>
      </c>
      <c r="D84" s="8">
        <f t="shared" si="2"/>
        <v>3989478</v>
      </c>
      <c r="E84" s="8">
        <f t="shared" si="2"/>
        <v>4570632</v>
      </c>
      <c r="F84" s="8">
        <f t="shared" si="2"/>
        <v>5214999</v>
      </c>
      <c r="G84" s="8">
        <f t="shared" si="2"/>
        <v>4687578</v>
      </c>
      <c r="H84" s="8">
        <f t="shared" si="2"/>
        <v>0</v>
      </c>
      <c r="I84" s="8">
        <f t="shared" si="2"/>
        <v>0</v>
      </c>
      <c r="J84" s="8">
        <f t="shared" si="2"/>
        <v>0</v>
      </c>
      <c r="K84" s="8">
        <f t="shared" si="2"/>
        <v>0</v>
      </c>
      <c r="L84" s="8">
        <f t="shared" si="2"/>
        <v>0</v>
      </c>
      <c r="M84" s="8">
        <f t="shared" si="2"/>
        <v>0</v>
      </c>
      <c r="N84" s="8">
        <f t="shared" si="2"/>
        <v>0</v>
      </c>
      <c r="O84" s="8">
        <f t="shared" si="2"/>
        <v>22705024</v>
      </c>
    </row>
  </sheetData>
  <sortState ref="B3:B83">
    <sortCondition ref="B3:B83"/>
  </sortState>
  <mergeCells count="1">
    <mergeCell ref="B1:O1"/>
  </mergeCells>
  <pageMargins left="0.7" right="0.7" top="0.75" bottom="0.75" header="0.3" footer="0.3"/>
  <pageSetup scale="4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P46"/>
  <sheetViews>
    <sheetView workbookViewId="0">
      <selection activeCell="G46" sqref="G46"/>
    </sheetView>
  </sheetViews>
  <sheetFormatPr defaultRowHeight="14.5" x14ac:dyDescent="0.35"/>
  <cols>
    <col min="1" max="1" width="4.453125" customWidth="1"/>
    <col min="2" max="2" width="31.1796875" bestFit="1" customWidth="1"/>
    <col min="3" max="4" width="13.26953125" bestFit="1" customWidth="1"/>
    <col min="5" max="6" width="14.26953125" bestFit="1" customWidth="1"/>
    <col min="7" max="7" width="13.26953125" bestFit="1" customWidth="1"/>
    <col min="11" max="11" width="12.54296875" bestFit="1" customWidth="1"/>
    <col min="12" max="12" width="10.1796875" bestFit="1" customWidth="1"/>
    <col min="13" max="13" width="12.26953125" bestFit="1" customWidth="1"/>
    <col min="14" max="14" width="11.54296875" bestFit="1" customWidth="1"/>
    <col min="15" max="15" width="13.81640625" customWidth="1"/>
  </cols>
  <sheetData>
    <row r="1" spans="1:16" ht="28.5" x14ac:dyDescent="0.65">
      <c r="A1" s="4"/>
      <c r="B1" s="17" t="s">
        <v>184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6" ht="15.5" x14ac:dyDescent="0.35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9" t="s">
        <v>17</v>
      </c>
    </row>
    <row r="3" spans="1:16" x14ac:dyDescent="0.35">
      <c r="A3" s="2">
        <v>2</v>
      </c>
      <c r="B3" s="2" t="s">
        <v>193</v>
      </c>
      <c r="C3" s="5">
        <v>77440</v>
      </c>
      <c r="D3" s="5">
        <v>119370</v>
      </c>
      <c r="E3" s="5">
        <v>129420</v>
      </c>
      <c r="F3" s="5">
        <v>150050</v>
      </c>
      <c r="G3" s="5">
        <v>142010</v>
      </c>
      <c r="H3" s="5"/>
      <c r="I3" s="5"/>
      <c r="J3" s="5"/>
      <c r="K3" s="5"/>
      <c r="L3" s="5"/>
      <c r="M3" s="5"/>
      <c r="N3" s="5"/>
      <c r="O3" s="10">
        <f t="shared" ref="O3:O44" si="0">SUM(C3:N3)</f>
        <v>618290</v>
      </c>
      <c r="P3" s="6"/>
    </row>
    <row r="4" spans="1:16" x14ac:dyDescent="0.35">
      <c r="A4" s="2">
        <v>3</v>
      </c>
      <c r="B4" s="2" t="s">
        <v>196</v>
      </c>
      <c r="C4" s="5">
        <v>58375</v>
      </c>
      <c r="D4" s="5">
        <v>43170</v>
      </c>
      <c r="E4" s="5">
        <v>67405</v>
      </c>
      <c r="F4" s="5">
        <v>72490</v>
      </c>
      <c r="G4" s="5">
        <v>66480</v>
      </c>
      <c r="H4" s="5"/>
      <c r="I4" s="5"/>
      <c r="J4" s="5"/>
      <c r="K4" s="5"/>
      <c r="L4" s="5"/>
      <c r="M4" s="5"/>
      <c r="N4" s="5"/>
      <c r="O4" s="10">
        <f t="shared" si="0"/>
        <v>307920</v>
      </c>
      <c r="P4" s="6"/>
    </row>
    <row r="5" spans="1:16" x14ac:dyDescent="0.35">
      <c r="A5" s="2">
        <v>4</v>
      </c>
      <c r="B5" s="2" t="s">
        <v>197</v>
      </c>
      <c r="C5" s="5">
        <v>24000</v>
      </c>
      <c r="D5" s="5">
        <v>40000</v>
      </c>
      <c r="E5" s="5">
        <v>47000</v>
      </c>
      <c r="F5" s="5">
        <v>34000</v>
      </c>
      <c r="G5" s="5">
        <v>50000</v>
      </c>
      <c r="H5" s="5"/>
      <c r="I5" s="5"/>
      <c r="J5" s="5"/>
      <c r="K5" s="5"/>
      <c r="L5" s="5"/>
      <c r="M5" s="5"/>
      <c r="N5" s="5"/>
      <c r="O5" s="10">
        <f t="shared" si="0"/>
        <v>195000</v>
      </c>
      <c r="P5" s="6"/>
    </row>
    <row r="6" spans="1:16" x14ac:dyDescent="0.35">
      <c r="A6" s="2">
        <v>7</v>
      </c>
      <c r="B6" s="2" t="s">
        <v>202</v>
      </c>
      <c r="C6" s="5">
        <v>20900</v>
      </c>
      <c r="D6" s="5">
        <v>6500</v>
      </c>
      <c r="E6" s="5">
        <v>4700</v>
      </c>
      <c r="F6" s="5">
        <v>0</v>
      </c>
      <c r="G6" s="5">
        <v>0</v>
      </c>
      <c r="H6" s="5"/>
      <c r="I6" s="5"/>
      <c r="J6" s="5"/>
      <c r="K6" s="5"/>
      <c r="L6" s="5"/>
      <c r="M6" s="5"/>
      <c r="N6" s="5"/>
      <c r="O6" s="10">
        <f t="shared" si="0"/>
        <v>32100</v>
      </c>
      <c r="P6" s="6"/>
    </row>
    <row r="7" spans="1:16" x14ac:dyDescent="0.35">
      <c r="A7" s="2">
        <v>8</v>
      </c>
      <c r="B7" s="2" t="s">
        <v>204</v>
      </c>
      <c r="C7" s="5">
        <v>155080</v>
      </c>
      <c r="D7" s="5">
        <v>139960</v>
      </c>
      <c r="E7" s="5">
        <v>97900</v>
      </c>
      <c r="F7" s="5">
        <v>122990</v>
      </c>
      <c r="G7" s="5">
        <v>158018</v>
      </c>
      <c r="H7" s="5"/>
      <c r="I7" s="5"/>
      <c r="J7" s="5"/>
      <c r="K7" s="5"/>
      <c r="L7" s="5"/>
      <c r="M7" s="5"/>
      <c r="N7" s="5"/>
      <c r="O7" s="10">
        <f t="shared" si="0"/>
        <v>673948</v>
      </c>
      <c r="P7" s="6"/>
    </row>
    <row r="8" spans="1:16" x14ac:dyDescent="0.35">
      <c r="A8" s="2">
        <v>9</v>
      </c>
      <c r="B8" s="2" t="s">
        <v>205</v>
      </c>
      <c r="C8" s="5">
        <v>10380</v>
      </c>
      <c r="D8" s="5">
        <v>24110</v>
      </c>
      <c r="E8" s="5">
        <v>35820</v>
      </c>
      <c r="F8" s="5">
        <v>45870</v>
      </c>
      <c r="G8" s="5">
        <v>23440</v>
      </c>
      <c r="H8" s="5"/>
      <c r="I8" s="5"/>
      <c r="J8" s="5"/>
      <c r="K8" s="5"/>
      <c r="L8" s="5"/>
      <c r="M8" s="5"/>
      <c r="N8" s="5"/>
      <c r="O8" s="10">
        <f t="shared" si="0"/>
        <v>139620</v>
      </c>
      <c r="P8" s="6"/>
    </row>
    <row r="9" spans="1:16" x14ac:dyDescent="0.35">
      <c r="A9" s="2">
        <v>10</v>
      </c>
      <c r="B9" s="2" t="s">
        <v>206</v>
      </c>
      <c r="C9" s="5">
        <v>0</v>
      </c>
      <c r="D9" s="5">
        <v>0</v>
      </c>
      <c r="E9" s="5">
        <v>0</v>
      </c>
      <c r="F9" s="5">
        <v>0</v>
      </c>
      <c r="G9" s="5">
        <v>1200</v>
      </c>
      <c r="H9" s="5"/>
      <c r="I9" s="5"/>
      <c r="J9" s="5"/>
      <c r="K9" s="5"/>
      <c r="L9" s="5"/>
      <c r="M9" s="5"/>
      <c r="N9" s="5"/>
      <c r="O9" s="10">
        <f t="shared" si="0"/>
        <v>1200</v>
      </c>
      <c r="P9" s="6"/>
    </row>
    <row r="10" spans="1:16" x14ac:dyDescent="0.35">
      <c r="A10" s="2">
        <v>11</v>
      </c>
      <c r="B10" s="2" t="s">
        <v>208</v>
      </c>
      <c r="C10" s="5">
        <v>6652426</v>
      </c>
      <c r="D10" s="5">
        <v>6000663</v>
      </c>
      <c r="E10" s="5">
        <v>6887440</v>
      </c>
      <c r="F10" s="5">
        <v>7335378</v>
      </c>
      <c r="G10" s="5">
        <v>6405678</v>
      </c>
      <c r="H10" s="5"/>
      <c r="I10" s="5"/>
      <c r="J10" s="5"/>
      <c r="K10" s="5"/>
      <c r="L10" s="5"/>
      <c r="M10" s="5"/>
      <c r="N10" s="5"/>
      <c r="O10" s="10">
        <f t="shared" si="0"/>
        <v>33281585</v>
      </c>
      <c r="P10" s="6"/>
    </row>
    <row r="11" spans="1:16" x14ac:dyDescent="0.35">
      <c r="A11" s="2">
        <v>14</v>
      </c>
      <c r="B11" s="2" t="s">
        <v>214</v>
      </c>
      <c r="C11" s="5">
        <v>6700</v>
      </c>
      <c r="D11" s="5">
        <v>14740</v>
      </c>
      <c r="E11" s="5">
        <v>4020</v>
      </c>
      <c r="F11" s="5">
        <v>46760</v>
      </c>
      <c r="G11" s="5">
        <v>28130</v>
      </c>
      <c r="H11" s="5"/>
      <c r="I11" s="5"/>
      <c r="J11" s="5"/>
      <c r="K11" s="5"/>
      <c r="L11" s="5"/>
      <c r="M11" s="5"/>
      <c r="N11" s="5"/>
      <c r="O11" s="10">
        <f t="shared" si="0"/>
        <v>100350</v>
      </c>
      <c r="P11" s="6"/>
    </row>
    <row r="12" spans="1:16" x14ac:dyDescent="0.35">
      <c r="A12" s="2">
        <v>15</v>
      </c>
      <c r="B12" s="2" t="s">
        <v>216</v>
      </c>
      <c r="C12" s="5">
        <v>419629</v>
      </c>
      <c r="D12" s="5">
        <v>392619</v>
      </c>
      <c r="E12" s="5">
        <v>494863</v>
      </c>
      <c r="F12" s="5">
        <v>285158</v>
      </c>
      <c r="G12" s="5">
        <v>192016</v>
      </c>
      <c r="H12" s="5"/>
      <c r="I12" s="5"/>
      <c r="J12" s="5"/>
      <c r="K12" s="5"/>
      <c r="L12" s="5"/>
      <c r="M12" s="5"/>
      <c r="N12" s="5"/>
      <c r="O12" s="10">
        <f t="shared" si="0"/>
        <v>1784285</v>
      </c>
      <c r="P12" s="6"/>
    </row>
    <row r="13" spans="1:16" x14ac:dyDescent="0.35">
      <c r="A13" s="2">
        <v>16</v>
      </c>
      <c r="B13" s="2" t="s">
        <v>260</v>
      </c>
      <c r="C13" s="5">
        <v>0</v>
      </c>
      <c r="D13" s="5">
        <v>0</v>
      </c>
      <c r="E13" s="5">
        <v>0</v>
      </c>
      <c r="F13" s="5">
        <v>66835</v>
      </c>
      <c r="G13" s="5">
        <v>99443</v>
      </c>
      <c r="H13" s="5"/>
      <c r="I13" s="5"/>
      <c r="J13" s="5"/>
      <c r="K13" s="5"/>
      <c r="L13" s="5"/>
      <c r="M13" s="5"/>
      <c r="N13" s="5"/>
      <c r="O13" s="10">
        <f t="shared" si="0"/>
        <v>166278</v>
      </c>
      <c r="P13" s="6"/>
    </row>
    <row r="14" spans="1:16" x14ac:dyDescent="0.35">
      <c r="A14" s="2">
        <v>17</v>
      </c>
      <c r="B14" s="2" t="s">
        <v>259</v>
      </c>
      <c r="C14" s="5">
        <v>0</v>
      </c>
      <c r="D14" s="5">
        <v>0</v>
      </c>
      <c r="E14" s="5">
        <v>0</v>
      </c>
      <c r="F14" s="5">
        <v>38414</v>
      </c>
      <c r="G14" s="5">
        <v>135573</v>
      </c>
      <c r="H14" s="5"/>
      <c r="I14" s="5"/>
      <c r="J14" s="5"/>
      <c r="K14" s="5"/>
      <c r="L14" s="5"/>
      <c r="M14" s="5"/>
      <c r="N14" s="5"/>
      <c r="O14" s="10">
        <f t="shared" si="0"/>
        <v>173987</v>
      </c>
      <c r="P14" s="6"/>
    </row>
    <row r="15" spans="1:16" x14ac:dyDescent="0.35">
      <c r="A15" s="2">
        <v>18</v>
      </c>
      <c r="B15" s="2" t="s">
        <v>217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/>
      <c r="I15" s="5"/>
      <c r="J15" s="5"/>
      <c r="K15" s="5"/>
      <c r="L15" s="5"/>
      <c r="M15" s="5"/>
      <c r="N15" s="5"/>
      <c r="O15" s="10">
        <f t="shared" si="0"/>
        <v>0</v>
      </c>
      <c r="P15" s="6"/>
    </row>
    <row r="16" spans="1:16" x14ac:dyDescent="0.35">
      <c r="A16" s="2">
        <v>19</v>
      </c>
      <c r="B16" s="2" t="s">
        <v>218</v>
      </c>
      <c r="C16" s="5">
        <v>16000</v>
      </c>
      <c r="D16" s="5">
        <v>30590</v>
      </c>
      <c r="E16" s="5">
        <v>30350</v>
      </c>
      <c r="F16" s="5">
        <v>12000</v>
      </c>
      <c r="G16" s="5">
        <v>14000</v>
      </c>
      <c r="H16" s="5"/>
      <c r="I16" s="5"/>
      <c r="J16" s="5"/>
      <c r="K16" s="5"/>
      <c r="L16" s="5"/>
      <c r="M16" s="5"/>
      <c r="N16" s="5"/>
      <c r="O16" s="10">
        <f t="shared" si="0"/>
        <v>102940</v>
      </c>
      <c r="P16" s="6"/>
    </row>
    <row r="17" spans="1:16" x14ac:dyDescent="0.35">
      <c r="A17" s="2">
        <v>20</v>
      </c>
      <c r="B17" s="2" t="s">
        <v>219</v>
      </c>
      <c r="C17" s="5">
        <v>16000</v>
      </c>
      <c r="D17" s="5">
        <v>20000</v>
      </c>
      <c r="E17" s="5">
        <v>8000</v>
      </c>
      <c r="F17" s="5">
        <v>0</v>
      </c>
      <c r="G17" s="5">
        <v>0</v>
      </c>
      <c r="H17" s="5"/>
      <c r="I17" s="5"/>
      <c r="J17" s="5"/>
      <c r="K17" s="5"/>
      <c r="L17" s="5"/>
      <c r="M17" s="5"/>
      <c r="N17" s="5"/>
      <c r="O17" s="10">
        <f t="shared" si="0"/>
        <v>44000</v>
      </c>
      <c r="P17" s="6"/>
    </row>
    <row r="18" spans="1:16" x14ac:dyDescent="0.35">
      <c r="A18" s="2">
        <v>21</v>
      </c>
      <c r="B18" s="2" t="s">
        <v>220</v>
      </c>
      <c r="C18" s="5">
        <v>14600</v>
      </c>
      <c r="D18" s="5">
        <v>21900</v>
      </c>
      <c r="E18" s="5">
        <v>14600</v>
      </c>
      <c r="F18" s="5">
        <v>29200</v>
      </c>
      <c r="G18" s="5">
        <v>51100</v>
      </c>
      <c r="H18" s="5"/>
      <c r="I18" s="5"/>
      <c r="J18" s="5"/>
      <c r="K18" s="5"/>
      <c r="L18" s="5"/>
      <c r="M18" s="5"/>
      <c r="N18" s="5"/>
      <c r="O18" s="10">
        <f t="shared" si="0"/>
        <v>131400</v>
      </c>
      <c r="P18" s="6"/>
    </row>
    <row r="19" spans="1:16" x14ac:dyDescent="0.35">
      <c r="A19" s="2">
        <v>22</v>
      </c>
      <c r="B19" s="2" t="s">
        <v>262</v>
      </c>
      <c r="C19" s="5">
        <v>67676</v>
      </c>
      <c r="D19" s="5">
        <v>107736</v>
      </c>
      <c r="E19" s="5">
        <v>61478</v>
      </c>
      <c r="F19" s="5">
        <v>62094</v>
      </c>
      <c r="G19" s="5">
        <v>39411</v>
      </c>
      <c r="H19" s="5"/>
      <c r="I19" s="5"/>
      <c r="J19" s="5"/>
      <c r="K19" s="5"/>
      <c r="L19" s="5"/>
      <c r="M19" s="5"/>
      <c r="N19" s="5"/>
      <c r="O19" s="10">
        <f t="shared" si="0"/>
        <v>338395</v>
      </c>
      <c r="P19" s="6"/>
    </row>
    <row r="20" spans="1:16" x14ac:dyDescent="0.35">
      <c r="A20" s="2">
        <v>23</v>
      </c>
      <c r="B20" s="2" t="s">
        <v>221</v>
      </c>
      <c r="C20" s="5">
        <v>0</v>
      </c>
      <c r="D20" s="5">
        <v>0</v>
      </c>
      <c r="E20" s="5">
        <v>44075</v>
      </c>
      <c r="F20" s="5">
        <v>27200</v>
      </c>
      <c r="G20" s="5">
        <v>0</v>
      </c>
      <c r="H20" s="5"/>
      <c r="I20" s="5"/>
      <c r="J20" s="5"/>
      <c r="K20" s="5"/>
      <c r="L20" s="5"/>
      <c r="M20" s="5"/>
      <c r="N20" s="5"/>
      <c r="O20" s="10">
        <f t="shared" si="0"/>
        <v>71275</v>
      </c>
      <c r="P20" s="6"/>
    </row>
    <row r="21" spans="1:16" x14ac:dyDescent="0.35">
      <c r="A21" s="2">
        <v>24</v>
      </c>
      <c r="B21" s="2" t="s">
        <v>222</v>
      </c>
      <c r="C21" s="5">
        <v>83632</v>
      </c>
      <c r="D21" s="5">
        <v>64802</v>
      </c>
      <c r="E21" s="5">
        <v>87298</v>
      </c>
      <c r="F21" s="5">
        <v>78318</v>
      </c>
      <c r="G21" s="5">
        <v>78020</v>
      </c>
      <c r="H21" s="5"/>
      <c r="I21" s="5"/>
      <c r="J21" s="5"/>
      <c r="K21" s="5"/>
      <c r="L21" s="5"/>
      <c r="M21" s="5"/>
      <c r="N21" s="5"/>
      <c r="O21" s="10">
        <f t="shared" si="0"/>
        <v>392070</v>
      </c>
      <c r="P21" s="6"/>
    </row>
    <row r="22" spans="1:16" x14ac:dyDescent="0.35">
      <c r="A22" s="2">
        <v>25</v>
      </c>
      <c r="B22" s="2" t="s">
        <v>223</v>
      </c>
      <c r="C22" s="5">
        <v>21900</v>
      </c>
      <c r="D22" s="5">
        <v>43950</v>
      </c>
      <c r="E22" s="5">
        <v>41200</v>
      </c>
      <c r="F22" s="5">
        <v>20825</v>
      </c>
      <c r="G22" s="5">
        <v>22050</v>
      </c>
      <c r="H22" s="5"/>
      <c r="I22" s="5"/>
      <c r="J22" s="5"/>
      <c r="K22" s="5"/>
      <c r="L22" s="5"/>
      <c r="M22" s="5"/>
      <c r="N22" s="5"/>
      <c r="O22" s="10">
        <f t="shared" si="0"/>
        <v>149925</v>
      </c>
      <c r="P22" s="6"/>
    </row>
    <row r="23" spans="1:16" x14ac:dyDescent="0.35">
      <c r="A23" s="2">
        <v>27</v>
      </c>
      <c r="B23" s="2" t="s">
        <v>225</v>
      </c>
      <c r="C23" s="5">
        <v>25140</v>
      </c>
      <c r="D23" s="5">
        <v>0</v>
      </c>
      <c r="E23" s="5">
        <v>24772</v>
      </c>
      <c r="F23" s="5">
        <v>17740</v>
      </c>
      <c r="G23" s="5">
        <v>36288</v>
      </c>
      <c r="H23" s="5"/>
      <c r="I23" s="5"/>
      <c r="J23" s="5"/>
      <c r="K23" s="5"/>
      <c r="L23" s="5"/>
      <c r="M23" s="5"/>
      <c r="N23" s="5"/>
      <c r="O23" s="10">
        <f t="shared" si="0"/>
        <v>103940</v>
      </c>
      <c r="P23" s="6"/>
    </row>
    <row r="24" spans="1:16" x14ac:dyDescent="0.35">
      <c r="A24" s="2">
        <v>28</v>
      </c>
      <c r="B24" s="2" t="s">
        <v>261</v>
      </c>
      <c r="C24" s="5">
        <v>41600</v>
      </c>
      <c r="D24" s="5">
        <v>14400</v>
      </c>
      <c r="E24" s="5">
        <v>0</v>
      </c>
      <c r="F24" s="5">
        <v>18000</v>
      </c>
      <c r="G24" s="5">
        <v>23600</v>
      </c>
      <c r="H24" s="5"/>
      <c r="I24" s="5"/>
      <c r="J24" s="5"/>
      <c r="K24" s="5"/>
      <c r="L24" s="5"/>
      <c r="M24" s="5"/>
      <c r="N24" s="5"/>
      <c r="O24" s="10">
        <f t="shared" si="0"/>
        <v>97600</v>
      </c>
      <c r="P24" s="6"/>
    </row>
    <row r="25" spans="1:16" x14ac:dyDescent="0.35">
      <c r="A25" s="2">
        <v>29</v>
      </c>
      <c r="B25" s="2" t="s">
        <v>226</v>
      </c>
      <c r="C25" s="5">
        <v>16000</v>
      </c>
      <c r="D25" s="5">
        <v>44000</v>
      </c>
      <c r="E25" s="5">
        <v>91000</v>
      </c>
      <c r="F25" s="5">
        <v>48224</v>
      </c>
      <c r="G25" s="5">
        <v>21600</v>
      </c>
      <c r="H25" s="5"/>
      <c r="I25" s="5"/>
      <c r="J25" s="5"/>
      <c r="K25" s="5"/>
      <c r="L25" s="5"/>
      <c r="M25" s="5"/>
      <c r="N25" s="5"/>
      <c r="O25" s="10">
        <f t="shared" si="0"/>
        <v>220824</v>
      </c>
      <c r="P25" s="6"/>
    </row>
    <row r="26" spans="1:16" x14ac:dyDescent="0.35">
      <c r="A26" s="2">
        <v>30</v>
      </c>
      <c r="B26" s="2" t="s">
        <v>227</v>
      </c>
      <c r="C26" s="5">
        <v>11075</v>
      </c>
      <c r="D26" s="5">
        <v>2400</v>
      </c>
      <c r="E26" s="5">
        <v>40030</v>
      </c>
      <c r="F26" s="5">
        <v>9700</v>
      </c>
      <c r="G26" s="5">
        <v>800</v>
      </c>
      <c r="H26" s="5"/>
      <c r="I26" s="5"/>
      <c r="J26" s="5"/>
      <c r="K26" s="5"/>
      <c r="L26" s="5"/>
      <c r="M26" s="5"/>
      <c r="N26" s="5"/>
      <c r="O26" s="10">
        <f t="shared" si="0"/>
        <v>64005</v>
      </c>
      <c r="P26" s="6"/>
    </row>
    <row r="27" spans="1:16" x14ac:dyDescent="0.35">
      <c r="A27" s="2">
        <v>31</v>
      </c>
      <c r="B27" s="2" t="s">
        <v>229</v>
      </c>
      <c r="C27" s="5">
        <v>4800</v>
      </c>
      <c r="D27" s="5">
        <v>4940</v>
      </c>
      <c r="E27" s="5">
        <v>1200</v>
      </c>
      <c r="F27" s="5">
        <v>1200</v>
      </c>
      <c r="G27" s="5">
        <v>0</v>
      </c>
      <c r="H27" s="5"/>
      <c r="I27" s="5"/>
      <c r="J27" s="5"/>
      <c r="K27" s="5"/>
      <c r="L27" s="5"/>
      <c r="M27" s="5"/>
      <c r="N27" s="5"/>
      <c r="O27" s="10">
        <f t="shared" si="0"/>
        <v>12140</v>
      </c>
      <c r="P27" s="6"/>
    </row>
    <row r="28" spans="1:16" x14ac:dyDescent="0.35">
      <c r="A28" s="2">
        <v>32</v>
      </c>
      <c r="B28" s="2" t="s">
        <v>230</v>
      </c>
      <c r="C28" s="5">
        <v>0</v>
      </c>
      <c r="D28" s="5">
        <v>0</v>
      </c>
      <c r="E28" s="5">
        <v>0</v>
      </c>
      <c r="F28" s="5">
        <v>2680</v>
      </c>
      <c r="G28" s="5">
        <v>0</v>
      </c>
      <c r="H28" s="5"/>
      <c r="I28" s="5"/>
      <c r="J28" s="5"/>
      <c r="K28" s="5"/>
      <c r="L28" s="5"/>
      <c r="M28" s="5"/>
      <c r="N28" s="5"/>
      <c r="O28" s="10">
        <f t="shared" si="0"/>
        <v>2680</v>
      </c>
      <c r="P28" s="6"/>
    </row>
    <row r="29" spans="1:16" x14ac:dyDescent="0.35">
      <c r="A29" s="2">
        <v>33</v>
      </c>
      <c r="B29" s="2" t="s">
        <v>231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/>
      <c r="I29" s="5"/>
      <c r="J29" s="5"/>
      <c r="K29" s="5"/>
      <c r="L29" s="5"/>
      <c r="M29" s="5"/>
      <c r="N29" s="5"/>
      <c r="O29" s="10">
        <f t="shared" si="0"/>
        <v>0</v>
      </c>
      <c r="P29" s="6"/>
    </row>
    <row r="30" spans="1:16" x14ac:dyDescent="0.35">
      <c r="A30" s="2">
        <v>34</v>
      </c>
      <c r="B30" s="2" t="s">
        <v>232</v>
      </c>
      <c r="C30" s="5">
        <v>9040</v>
      </c>
      <c r="D30" s="5">
        <v>6360</v>
      </c>
      <c r="E30" s="5">
        <v>10380</v>
      </c>
      <c r="F30" s="5">
        <v>14400</v>
      </c>
      <c r="G30" s="5">
        <v>17410</v>
      </c>
      <c r="H30" s="5"/>
      <c r="I30" s="5"/>
      <c r="J30" s="5"/>
      <c r="K30" s="5"/>
      <c r="L30" s="5"/>
      <c r="M30" s="5"/>
      <c r="N30" s="5"/>
      <c r="O30" s="10">
        <f t="shared" si="0"/>
        <v>57590</v>
      </c>
      <c r="P30" s="6"/>
    </row>
    <row r="31" spans="1:16" x14ac:dyDescent="0.35">
      <c r="A31" s="2">
        <v>35</v>
      </c>
      <c r="B31" s="2" t="s">
        <v>233</v>
      </c>
      <c r="C31" s="5">
        <v>554852</v>
      </c>
      <c r="D31" s="5">
        <v>504820</v>
      </c>
      <c r="E31" s="5">
        <v>862790</v>
      </c>
      <c r="F31" s="5">
        <v>654955</v>
      </c>
      <c r="G31" s="5">
        <v>624750</v>
      </c>
      <c r="H31" s="5"/>
      <c r="I31" s="5"/>
      <c r="J31" s="5"/>
      <c r="K31" s="5"/>
      <c r="L31" s="5"/>
      <c r="M31" s="5"/>
      <c r="N31" s="5"/>
      <c r="O31" s="10">
        <f t="shared" si="0"/>
        <v>3202167</v>
      </c>
      <c r="P31" s="6"/>
    </row>
    <row r="32" spans="1:16" x14ac:dyDescent="0.35">
      <c r="A32" s="2">
        <v>36</v>
      </c>
      <c r="B32" s="2" t="s">
        <v>234</v>
      </c>
      <c r="C32" s="5">
        <v>73184</v>
      </c>
      <c r="D32" s="5">
        <v>53380</v>
      </c>
      <c r="E32" s="5">
        <v>111920</v>
      </c>
      <c r="F32" s="5">
        <v>97754</v>
      </c>
      <c r="G32" s="5">
        <v>57090</v>
      </c>
      <c r="H32" s="5"/>
      <c r="I32" s="5"/>
      <c r="J32" s="5"/>
      <c r="K32" s="5"/>
      <c r="L32" s="5"/>
      <c r="M32" s="5"/>
      <c r="N32" s="5"/>
      <c r="O32" s="10">
        <f t="shared" si="0"/>
        <v>393328</v>
      </c>
      <c r="P32" s="6"/>
    </row>
    <row r="33" spans="1:16" x14ac:dyDescent="0.35">
      <c r="A33" s="2">
        <v>37</v>
      </c>
      <c r="B33" s="2" t="s">
        <v>235</v>
      </c>
      <c r="C33" s="5">
        <v>65640</v>
      </c>
      <c r="D33" s="5">
        <v>82822</v>
      </c>
      <c r="E33" s="5">
        <v>64122</v>
      </c>
      <c r="F33" s="5">
        <v>85567</v>
      </c>
      <c r="G33" s="5">
        <v>53652</v>
      </c>
      <c r="H33" s="5"/>
      <c r="I33" s="5"/>
      <c r="J33" s="5"/>
      <c r="K33" s="5"/>
      <c r="L33" s="5"/>
      <c r="M33" s="5"/>
      <c r="N33" s="5"/>
      <c r="O33" s="10">
        <f t="shared" si="0"/>
        <v>351803</v>
      </c>
      <c r="P33" s="6"/>
    </row>
    <row r="34" spans="1:16" x14ac:dyDescent="0.35">
      <c r="A34" s="2">
        <v>38</v>
      </c>
      <c r="B34" s="2" t="s">
        <v>238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/>
      <c r="I34" s="5"/>
      <c r="J34" s="5"/>
      <c r="K34" s="5"/>
      <c r="L34" s="5"/>
      <c r="M34" s="5"/>
      <c r="N34" s="5"/>
      <c r="O34" s="10">
        <f t="shared" si="0"/>
        <v>0</v>
      </c>
      <c r="P34" s="6"/>
    </row>
    <row r="35" spans="1:16" x14ac:dyDescent="0.35">
      <c r="A35" s="2">
        <v>39</v>
      </c>
      <c r="B35" s="2" t="s">
        <v>242</v>
      </c>
      <c r="C35" s="5">
        <v>36000</v>
      </c>
      <c r="D35" s="5">
        <v>43000</v>
      </c>
      <c r="E35" s="5">
        <v>55850</v>
      </c>
      <c r="F35" s="5">
        <v>63960</v>
      </c>
      <c r="G35" s="5">
        <v>81130</v>
      </c>
      <c r="H35" s="5"/>
      <c r="I35" s="5"/>
      <c r="J35" s="5"/>
      <c r="K35" s="5"/>
      <c r="L35" s="5"/>
      <c r="M35" s="5"/>
      <c r="N35" s="5"/>
      <c r="O35" s="10">
        <f t="shared" si="0"/>
        <v>279940</v>
      </c>
      <c r="P35" s="6"/>
    </row>
    <row r="36" spans="1:16" x14ac:dyDescent="0.35">
      <c r="A36" s="2">
        <v>40</v>
      </c>
      <c r="B36" s="2" t="s">
        <v>243</v>
      </c>
      <c r="C36" s="5">
        <v>46480</v>
      </c>
      <c r="D36" s="5">
        <v>40310</v>
      </c>
      <c r="E36" s="5">
        <v>39390</v>
      </c>
      <c r="F36" s="5">
        <v>36170</v>
      </c>
      <c r="G36" s="5">
        <v>72750</v>
      </c>
      <c r="H36" s="5"/>
      <c r="I36" s="5"/>
      <c r="J36" s="5"/>
      <c r="K36" s="5"/>
      <c r="L36" s="5"/>
      <c r="M36" s="5"/>
      <c r="N36" s="5"/>
      <c r="O36" s="10">
        <f t="shared" si="0"/>
        <v>235100</v>
      </c>
      <c r="P36" s="6"/>
    </row>
    <row r="37" spans="1:16" x14ac:dyDescent="0.35">
      <c r="A37" s="2">
        <v>41</v>
      </c>
      <c r="B37" s="2" t="s">
        <v>245</v>
      </c>
      <c r="C37" s="5">
        <v>6000</v>
      </c>
      <c r="D37" s="5">
        <v>0</v>
      </c>
      <c r="E37" s="5">
        <v>4140</v>
      </c>
      <c r="F37" s="5">
        <v>4140</v>
      </c>
      <c r="G37" s="5">
        <v>2800</v>
      </c>
      <c r="H37" s="5"/>
      <c r="I37" s="5"/>
      <c r="J37" s="5"/>
      <c r="K37" s="5"/>
      <c r="L37" s="5"/>
      <c r="M37" s="5"/>
      <c r="N37" s="5"/>
      <c r="O37" s="10">
        <f t="shared" si="0"/>
        <v>17080</v>
      </c>
      <c r="P37" s="6"/>
    </row>
    <row r="38" spans="1:16" x14ac:dyDescent="0.35">
      <c r="A38" s="2">
        <v>42</v>
      </c>
      <c r="B38" s="2" t="s">
        <v>246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/>
      <c r="I38" s="5"/>
      <c r="J38" s="5"/>
      <c r="K38" s="5"/>
      <c r="L38" s="5"/>
      <c r="M38" s="5"/>
      <c r="N38" s="5"/>
      <c r="O38" s="10">
        <f t="shared" si="0"/>
        <v>0</v>
      </c>
      <c r="P38" s="6"/>
    </row>
    <row r="39" spans="1:16" x14ac:dyDescent="0.35">
      <c r="A39" s="2">
        <v>43</v>
      </c>
      <c r="B39" s="2" t="s">
        <v>247</v>
      </c>
      <c r="C39" s="5">
        <v>33470</v>
      </c>
      <c r="D39" s="5">
        <v>21750</v>
      </c>
      <c r="E39" s="5">
        <v>30120</v>
      </c>
      <c r="F39" s="5">
        <v>23100</v>
      </c>
      <c r="G39" s="5">
        <v>26780</v>
      </c>
      <c r="H39" s="5"/>
      <c r="I39" s="5"/>
      <c r="J39" s="5"/>
      <c r="K39" s="5"/>
      <c r="L39" s="5"/>
      <c r="M39" s="5"/>
      <c r="N39" s="5"/>
      <c r="O39" s="10">
        <f t="shared" si="0"/>
        <v>135220</v>
      </c>
      <c r="P39" s="6"/>
    </row>
    <row r="40" spans="1:16" x14ac:dyDescent="0.35">
      <c r="A40" s="2">
        <v>44</v>
      </c>
      <c r="B40" s="2" t="s">
        <v>250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/>
      <c r="I40" s="5"/>
      <c r="J40" s="5"/>
      <c r="K40" s="5"/>
      <c r="L40" s="5"/>
      <c r="M40" s="5"/>
      <c r="N40" s="5"/>
      <c r="O40" s="10">
        <f t="shared" si="0"/>
        <v>0</v>
      </c>
      <c r="P40" s="6"/>
    </row>
    <row r="41" spans="1:16" x14ac:dyDescent="0.35">
      <c r="A41" s="2">
        <v>45</v>
      </c>
      <c r="B41" s="2" t="s">
        <v>252</v>
      </c>
      <c r="C41" s="5">
        <v>17410</v>
      </c>
      <c r="D41" s="5">
        <v>22490</v>
      </c>
      <c r="E41" s="5">
        <v>12390</v>
      </c>
      <c r="F41" s="5">
        <v>10050</v>
      </c>
      <c r="G41" s="5">
        <v>30800</v>
      </c>
      <c r="H41" s="5"/>
      <c r="I41" s="5"/>
      <c r="J41" s="5"/>
      <c r="K41" s="5"/>
      <c r="L41" s="5"/>
      <c r="M41" s="5"/>
      <c r="N41" s="5"/>
      <c r="O41" s="10">
        <f t="shared" si="0"/>
        <v>93140</v>
      </c>
      <c r="P41" s="6"/>
    </row>
    <row r="42" spans="1:16" x14ac:dyDescent="0.35">
      <c r="A42" s="2">
        <v>46</v>
      </c>
      <c r="B42" s="2" t="s">
        <v>253</v>
      </c>
      <c r="C42" s="5">
        <v>2880</v>
      </c>
      <c r="D42" s="5">
        <v>4020</v>
      </c>
      <c r="E42" s="5">
        <v>7900</v>
      </c>
      <c r="F42" s="5">
        <v>8570</v>
      </c>
      <c r="G42" s="5">
        <v>8570</v>
      </c>
      <c r="H42" s="5"/>
      <c r="I42" s="5"/>
      <c r="J42" s="5"/>
      <c r="K42" s="5"/>
      <c r="L42" s="5"/>
      <c r="M42" s="5"/>
      <c r="N42" s="5"/>
      <c r="O42" s="10">
        <f t="shared" si="0"/>
        <v>31940</v>
      </c>
      <c r="P42" s="6"/>
    </row>
    <row r="43" spans="1:16" x14ac:dyDescent="0.35">
      <c r="A43" s="2">
        <v>47</v>
      </c>
      <c r="B43" s="2" t="s">
        <v>254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/>
      <c r="I43" s="5"/>
      <c r="J43" s="5"/>
      <c r="K43" s="5"/>
      <c r="L43" s="5"/>
      <c r="M43" s="5"/>
      <c r="N43" s="5"/>
      <c r="O43" s="10">
        <f t="shared" si="0"/>
        <v>0</v>
      </c>
      <c r="P43" s="6"/>
    </row>
    <row r="44" spans="1:16" x14ac:dyDescent="0.35">
      <c r="A44" s="2">
        <v>48</v>
      </c>
      <c r="B44" s="2" t="s">
        <v>255</v>
      </c>
      <c r="C44" s="5">
        <v>8000</v>
      </c>
      <c r="D44" s="5">
        <v>8000</v>
      </c>
      <c r="E44" s="5">
        <v>9250</v>
      </c>
      <c r="F44" s="5">
        <v>8000</v>
      </c>
      <c r="G44" s="5">
        <v>9250</v>
      </c>
      <c r="H44" s="5"/>
      <c r="I44" s="5"/>
      <c r="J44" s="5"/>
      <c r="K44" s="5"/>
      <c r="L44" s="5"/>
      <c r="M44" s="5"/>
      <c r="N44" s="5"/>
      <c r="O44" s="10">
        <f t="shared" si="0"/>
        <v>42500</v>
      </c>
      <c r="P44" s="6"/>
    </row>
    <row r="45" spans="1:16" x14ac:dyDescent="0.35">
      <c r="A45" s="2">
        <v>49</v>
      </c>
      <c r="B45" s="2" t="s">
        <v>257</v>
      </c>
      <c r="C45" s="5">
        <v>71817</v>
      </c>
      <c r="D45" s="5">
        <v>20000</v>
      </c>
      <c r="E45" s="5">
        <v>89750</v>
      </c>
      <c r="F45" s="5">
        <v>40000</v>
      </c>
      <c r="G45" s="5">
        <v>40000</v>
      </c>
      <c r="H45" s="5"/>
      <c r="I45" s="5"/>
      <c r="J45" s="5"/>
      <c r="K45" s="5"/>
      <c r="L45" s="5"/>
      <c r="M45" s="5"/>
      <c r="N45" s="5"/>
      <c r="O45" s="10">
        <f t="shared" ref="O45" si="1">SUM(C45:N45)</f>
        <v>261567</v>
      </c>
      <c r="P45" s="6"/>
    </row>
    <row r="46" spans="1:16" x14ac:dyDescent="0.35">
      <c r="A46" s="7"/>
      <c r="B46" s="7" t="s">
        <v>17</v>
      </c>
      <c r="C46" s="8">
        <f t="shared" ref="C46:O46" si="2">SUM(C3:C45)</f>
        <v>8668126</v>
      </c>
      <c r="D46" s="8">
        <f t="shared" si="2"/>
        <v>7942802</v>
      </c>
      <c r="E46" s="8">
        <f t="shared" si="2"/>
        <v>9510573</v>
      </c>
      <c r="F46" s="8">
        <f t="shared" si="2"/>
        <v>9571792</v>
      </c>
      <c r="G46" s="8">
        <f t="shared" si="2"/>
        <v>8613839</v>
      </c>
      <c r="H46" s="8">
        <f t="shared" si="2"/>
        <v>0</v>
      </c>
      <c r="I46" s="8">
        <f t="shared" si="2"/>
        <v>0</v>
      </c>
      <c r="J46" s="8">
        <f t="shared" si="2"/>
        <v>0</v>
      </c>
      <c r="K46" s="8">
        <f t="shared" si="2"/>
        <v>0</v>
      </c>
      <c r="L46" s="8">
        <f t="shared" si="2"/>
        <v>0</v>
      </c>
      <c r="M46" s="8">
        <f t="shared" si="2"/>
        <v>0</v>
      </c>
      <c r="N46" s="8">
        <f t="shared" si="2"/>
        <v>0</v>
      </c>
      <c r="O46" s="8">
        <f t="shared" si="2"/>
        <v>44307132</v>
      </c>
    </row>
  </sheetData>
  <sortState ref="B3:B45">
    <sortCondition ref="B3:B45"/>
  </sortState>
  <mergeCells count="1">
    <mergeCell ref="B1:O1"/>
  </mergeCells>
  <pageMargins left="0.7" right="0.7" top="0.75" bottom="0.75" header="0.3" footer="0.3"/>
  <pageSetup scale="5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64"/>
  <sheetViews>
    <sheetView workbookViewId="0">
      <selection activeCell="F15" sqref="F15"/>
    </sheetView>
  </sheetViews>
  <sheetFormatPr defaultRowHeight="14.5" x14ac:dyDescent="0.35"/>
  <cols>
    <col min="1" max="1" width="4.453125" customWidth="1"/>
    <col min="2" max="2" width="35.7265625" customWidth="1"/>
  </cols>
  <sheetData>
    <row r="1" spans="1:2" ht="21" x14ac:dyDescent="0.5">
      <c r="A1" s="18" t="s">
        <v>281</v>
      </c>
      <c r="B1" s="18"/>
    </row>
    <row r="2" spans="1:2" x14ac:dyDescent="0.35">
      <c r="A2" s="2">
        <v>1</v>
      </c>
      <c r="B2" s="2" t="s">
        <v>282</v>
      </c>
    </row>
    <row r="3" spans="1:2" x14ac:dyDescent="0.35">
      <c r="A3" s="2">
        <v>2</v>
      </c>
      <c r="B3" s="2" t="s">
        <v>283</v>
      </c>
    </row>
    <row r="4" spans="1:2" x14ac:dyDescent="0.35">
      <c r="A4" s="2">
        <v>3</v>
      </c>
      <c r="B4" s="2" t="s">
        <v>284</v>
      </c>
    </row>
    <row r="5" spans="1:2" x14ac:dyDescent="0.35">
      <c r="A5" s="2">
        <v>4</v>
      </c>
      <c r="B5" s="2" t="s">
        <v>285</v>
      </c>
    </row>
    <row r="6" spans="1:2" x14ac:dyDescent="0.35">
      <c r="A6" s="2">
        <v>5</v>
      </c>
      <c r="B6" s="2" t="s">
        <v>198</v>
      </c>
    </row>
    <row r="7" spans="1:2" x14ac:dyDescent="0.35">
      <c r="A7" s="2">
        <v>6</v>
      </c>
      <c r="B7" s="2" t="s">
        <v>201</v>
      </c>
    </row>
    <row r="8" spans="1:2" x14ac:dyDescent="0.35">
      <c r="A8" s="2">
        <v>7</v>
      </c>
      <c r="B8" s="2" t="s">
        <v>286</v>
      </c>
    </row>
    <row r="9" spans="1:2" x14ac:dyDescent="0.35">
      <c r="A9" s="2">
        <v>8</v>
      </c>
      <c r="B9" s="2" t="s">
        <v>287</v>
      </c>
    </row>
    <row r="10" spans="1:2" x14ac:dyDescent="0.35">
      <c r="A10" s="2">
        <v>9</v>
      </c>
      <c r="B10" s="2" t="s">
        <v>288</v>
      </c>
    </row>
    <row r="11" spans="1:2" x14ac:dyDescent="0.35">
      <c r="A11" s="2">
        <v>10</v>
      </c>
      <c r="B11" s="2" t="s">
        <v>289</v>
      </c>
    </row>
    <row r="12" spans="1:2" x14ac:dyDescent="0.35">
      <c r="A12" s="2">
        <v>11</v>
      </c>
      <c r="B12" s="2" t="s">
        <v>115</v>
      </c>
    </row>
    <row r="13" spans="1:2" x14ac:dyDescent="0.35">
      <c r="A13" s="2">
        <v>12</v>
      </c>
      <c r="B13" s="2" t="s">
        <v>290</v>
      </c>
    </row>
    <row r="14" spans="1:2" x14ac:dyDescent="0.35">
      <c r="A14" s="2">
        <v>13</v>
      </c>
      <c r="B14" s="2" t="s">
        <v>211</v>
      </c>
    </row>
    <row r="15" spans="1:2" x14ac:dyDescent="0.35">
      <c r="A15" s="2">
        <v>14</v>
      </c>
      <c r="B15" s="2" t="s">
        <v>212</v>
      </c>
    </row>
    <row r="16" spans="1:2" x14ac:dyDescent="0.35">
      <c r="A16" s="2">
        <v>15</v>
      </c>
      <c r="B16" s="2" t="s">
        <v>291</v>
      </c>
    </row>
    <row r="17" spans="1:2" x14ac:dyDescent="0.35">
      <c r="A17" s="2">
        <v>16</v>
      </c>
      <c r="B17" s="2" t="s">
        <v>292</v>
      </c>
    </row>
    <row r="18" spans="1:2" x14ac:dyDescent="0.35">
      <c r="A18" s="2">
        <v>17</v>
      </c>
      <c r="B18" s="2" t="s">
        <v>293</v>
      </c>
    </row>
    <row r="19" spans="1:2" x14ac:dyDescent="0.35">
      <c r="A19" s="2">
        <v>18</v>
      </c>
      <c r="B19" s="2" t="s">
        <v>294</v>
      </c>
    </row>
    <row r="20" spans="1:2" x14ac:dyDescent="0.35">
      <c r="A20" s="2">
        <v>19</v>
      </c>
      <c r="B20" s="2" t="s">
        <v>295</v>
      </c>
    </row>
    <row r="21" spans="1:2" x14ac:dyDescent="0.35">
      <c r="A21" s="2">
        <v>20</v>
      </c>
      <c r="B21" s="2" t="s">
        <v>296</v>
      </c>
    </row>
    <row r="22" spans="1:2" x14ac:dyDescent="0.35">
      <c r="A22" s="2">
        <v>21</v>
      </c>
      <c r="B22" s="2" t="s">
        <v>297</v>
      </c>
    </row>
    <row r="23" spans="1:2" x14ac:dyDescent="0.35">
      <c r="A23" s="2">
        <v>22</v>
      </c>
      <c r="B23" s="2" t="s">
        <v>298</v>
      </c>
    </row>
    <row r="24" spans="1:2" x14ac:dyDescent="0.35">
      <c r="A24" s="2">
        <v>23</v>
      </c>
      <c r="B24" s="2" t="s">
        <v>299</v>
      </c>
    </row>
    <row r="25" spans="1:2" x14ac:dyDescent="0.35">
      <c r="A25" s="2">
        <v>24</v>
      </c>
      <c r="B25" s="2" t="s">
        <v>300</v>
      </c>
    </row>
    <row r="26" spans="1:2" x14ac:dyDescent="0.35">
      <c r="A26" s="2">
        <v>25</v>
      </c>
      <c r="B26" s="2" t="s">
        <v>301</v>
      </c>
    </row>
    <row r="27" spans="1:2" x14ac:dyDescent="0.35">
      <c r="A27" s="2">
        <v>26</v>
      </c>
      <c r="B27" s="2" t="s">
        <v>302</v>
      </c>
    </row>
    <row r="28" spans="1:2" x14ac:dyDescent="0.35">
      <c r="A28" s="2">
        <v>27</v>
      </c>
      <c r="B28" s="2" t="s">
        <v>303</v>
      </c>
    </row>
    <row r="29" spans="1:2" x14ac:dyDescent="0.35">
      <c r="A29" s="2">
        <v>28</v>
      </c>
      <c r="B29" s="2" t="s">
        <v>304</v>
      </c>
    </row>
    <row r="30" spans="1:2" x14ac:dyDescent="0.35">
      <c r="A30" s="2">
        <v>29</v>
      </c>
      <c r="B30" s="2" t="s">
        <v>305</v>
      </c>
    </row>
    <row r="31" spans="1:2" x14ac:dyDescent="0.35">
      <c r="A31" s="2">
        <v>30</v>
      </c>
      <c r="B31" s="2" t="s">
        <v>306</v>
      </c>
    </row>
    <row r="32" spans="1:2" x14ac:dyDescent="0.35">
      <c r="A32" s="2">
        <v>31</v>
      </c>
      <c r="B32" s="2" t="s">
        <v>307</v>
      </c>
    </row>
    <row r="33" spans="1:2" x14ac:dyDescent="0.35">
      <c r="A33" s="2">
        <v>32</v>
      </c>
      <c r="B33" s="2" t="s">
        <v>308</v>
      </c>
    </row>
    <row r="34" spans="1:2" x14ac:dyDescent="0.35">
      <c r="A34" s="2">
        <v>33</v>
      </c>
      <c r="B34" s="2" t="s">
        <v>309</v>
      </c>
    </row>
    <row r="35" spans="1:2" x14ac:dyDescent="0.35">
      <c r="A35" s="2">
        <v>34</v>
      </c>
      <c r="B35" s="2" t="s">
        <v>310</v>
      </c>
    </row>
    <row r="36" spans="1:2" x14ac:dyDescent="0.35">
      <c r="A36" s="2">
        <v>35</v>
      </c>
      <c r="B36" s="2" t="s">
        <v>311</v>
      </c>
    </row>
    <row r="37" spans="1:2" x14ac:dyDescent="0.35">
      <c r="A37" s="2">
        <v>36</v>
      </c>
      <c r="B37" s="2" t="s">
        <v>312</v>
      </c>
    </row>
    <row r="38" spans="1:2" x14ac:dyDescent="0.35">
      <c r="A38" s="2">
        <v>37</v>
      </c>
      <c r="B38" s="2" t="s">
        <v>313</v>
      </c>
    </row>
    <row r="39" spans="1:2" x14ac:dyDescent="0.35">
      <c r="A39" s="2">
        <v>38</v>
      </c>
      <c r="B39" s="2" t="s">
        <v>314</v>
      </c>
    </row>
    <row r="40" spans="1:2" x14ac:dyDescent="0.35">
      <c r="A40" s="2">
        <v>39</v>
      </c>
      <c r="B40" s="2" t="s">
        <v>315</v>
      </c>
    </row>
    <row r="41" spans="1:2" x14ac:dyDescent="0.35">
      <c r="A41" s="2">
        <v>40</v>
      </c>
      <c r="B41" s="2" t="s">
        <v>316</v>
      </c>
    </row>
    <row r="42" spans="1:2" x14ac:dyDescent="0.35">
      <c r="A42" s="2">
        <v>41</v>
      </c>
      <c r="B42" s="2" t="s">
        <v>317</v>
      </c>
    </row>
    <row r="43" spans="1:2" x14ac:dyDescent="0.35">
      <c r="A43" s="2">
        <v>42</v>
      </c>
      <c r="B43" s="2" t="s">
        <v>318</v>
      </c>
    </row>
    <row r="44" spans="1:2" x14ac:dyDescent="0.35">
      <c r="A44" s="2">
        <v>43</v>
      </c>
      <c r="B44" s="2" t="s">
        <v>319</v>
      </c>
    </row>
    <row r="45" spans="1:2" x14ac:dyDescent="0.35">
      <c r="A45" s="2">
        <v>44</v>
      </c>
      <c r="B45" s="2" t="s">
        <v>320</v>
      </c>
    </row>
    <row r="46" spans="1:2" x14ac:dyDescent="0.35">
      <c r="A46" s="2">
        <v>45</v>
      </c>
      <c r="B46" s="2" t="s">
        <v>321</v>
      </c>
    </row>
    <row r="47" spans="1:2" x14ac:dyDescent="0.35">
      <c r="A47" s="2">
        <v>46</v>
      </c>
      <c r="B47" s="2" t="s">
        <v>322</v>
      </c>
    </row>
    <row r="48" spans="1:2" x14ac:dyDescent="0.35">
      <c r="A48" s="2">
        <v>47</v>
      </c>
      <c r="B48" s="2" t="s">
        <v>323</v>
      </c>
    </row>
    <row r="49" spans="1:2" x14ac:dyDescent="0.35">
      <c r="A49" s="2">
        <v>48</v>
      </c>
      <c r="B49" s="2" t="s">
        <v>324</v>
      </c>
    </row>
    <row r="50" spans="1:2" x14ac:dyDescent="0.35">
      <c r="A50" s="2">
        <v>49</v>
      </c>
      <c r="B50" s="2" t="s">
        <v>325</v>
      </c>
    </row>
    <row r="51" spans="1:2" x14ac:dyDescent="0.35">
      <c r="A51" s="2">
        <v>50</v>
      </c>
      <c r="B51" s="2" t="s">
        <v>326</v>
      </c>
    </row>
    <row r="52" spans="1:2" x14ac:dyDescent="0.35">
      <c r="A52" s="2">
        <v>51</v>
      </c>
      <c r="B52" s="2" t="s">
        <v>327</v>
      </c>
    </row>
    <row r="53" spans="1:2" x14ac:dyDescent="0.35">
      <c r="A53" s="2">
        <v>52</v>
      </c>
      <c r="B53" s="2" t="s">
        <v>328</v>
      </c>
    </row>
    <row r="54" spans="1:2" x14ac:dyDescent="0.35">
      <c r="A54" s="2">
        <v>53</v>
      </c>
      <c r="B54" s="2" t="s">
        <v>329</v>
      </c>
    </row>
    <row r="55" spans="1:2" x14ac:dyDescent="0.35">
      <c r="A55" s="2">
        <v>54</v>
      </c>
      <c r="B55" s="2" t="s">
        <v>330</v>
      </c>
    </row>
    <row r="56" spans="1:2" x14ac:dyDescent="0.35">
      <c r="A56" s="2">
        <v>55</v>
      </c>
      <c r="B56" s="2" t="s">
        <v>331</v>
      </c>
    </row>
    <row r="57" spans="1:2" x14ac:dyDescent="0.35">
      <c r="A57" s="2">
        <v>56</v>
      </c>
      <c r="B57" s="2" t="s">
        <v>332</v>
      </c>
    </row>
    <row r="58" spans="1:2" x14ac:dyDescent="0.35">
      <c r="A58" s="2">
        <v>57</v>
      </c>
      <c r="B58" s="2" t="s">
        <v>333</v>
      </c>
    </row>
    <row r="59" spans="1:2" x14ac:dyDescent="0.35">
      <c r="A59" s="2">
        <v>58</v>
      </c>
      <c r="B59" s="2" t="s">
        <v>334</v>
      </c>
    </row>
    <row r="60" spans="1:2" x14ac:dyDescent="0.35">
      <c r="A60" s="2">
        <v>59</v>
      </c>
      <c r="B60" s="2" t="s">
        <v>335</v>
      </c>
    </row>
    <row r="61" spans="1:2" x14ac:dyDescent="0.35">
      <c r="A61" s="2">
        <v>60</v>
      </c>
      <c r="B61" s="2" t="s">
        <v>336</v>
      </c>
    </row>
    <row r="62" spans="1:2" x14ac:dyDescent="0.35">
      <c r="A62" s="2">
        <v>61</v>
      </c>
      <c r="B62" s="2" t="s">
        <v>337</v>
      </c>
    </row>
    <row r="63" spans="1:2" x14ac:dyDescent="0.35">
      <c r="A63" s="2">
        <v>62</v>
      </c>
      <c r="B63" s="2" t="s">
        <v>338</v>
      </c>
    </row>
    <row r="64" spans="1:2" x14ac:dyDescent="0.35">
      <c r="A64" s="2">
        <v>63</v>
      </c>
      <c r="B64" s="2" t="s">
        <v>339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KEY ACCOUNT</vt:lpstr>
      <vt:lpstr>HORECA</vt:lpstr>
      <vt:lpstr>GENERAL TRADING</vt:lpstr>
      <vt:lpstr>OFFICE SALES</vt:lpstr>
      <vt:lpstr>DOMANT ACCOUNTS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MSA</dc:creator>
  <cp:lastModifiedBy>Windows User</cp:lastModifiedBy>
  <cp:lastPrinted>2026-06-12T09:01:09Z</cp:lastPrinted>
  <dcterms:created xsi:type="dcterms:W3CDTF">2026-05-05T07:49:17Z</dcterms:created>
  <dcterms:modified xsi:type="dcterms:W3CDTF">2026-06-23T07:39:23Z</dcterms:modified>
</cp:coreProperties>
</file>